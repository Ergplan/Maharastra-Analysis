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677cff00b3b4365/Desktop/"/>
    </mc:Choice>
  </mc:AlternateContent>
  <xr:revisionPtr revIDLastSave="785" documentId="11_F25DC773A252ABDACC1048EBB1DC4DDE5ADE58F1" xr6:coauthVersionLast="47" xr6:coauthVersionMax="47" xr10:uidLastSave="{A21F649B-0F98-4359-907B-E785DFABC236}"/>
  <bookViews>
    <workbookView xWindow="-108" yWindow="-108" windowWidth="23256" windowHeight="13896" firstSheet="4" activeTab="4" xr2:uid="{00000000-000D-0000-FFFF-FFFF00000000}"/>
  </bookViews>
  <sheets>
    <sheet name="Summary" sheetId="7" state="hidden" r:id="rId1"/>
    <sheet name="Karnataka" sheetId="1" state="hidden" r:id="rId2"/>
    <sheet name="Andhra pradesh" sheetId="2" state="hidden" r:id="rId3"/>
    <sheet name="Tamil Nadu" sheetId="3" state="hidden" r:id="rId4"/>
    <sheet name="Maharashtra" sheetId="4" r:id="rId5"/>
    <sheet name="Rajasthan " sheetId="5" state="hidden" r:id="rId6"/>
    <sheet name="UP" sheetId="6" state="hidden" r:id="rId7"/>
  </sheets>
  <calcPr calcId="191029" iterate="1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F20" i="4"/>
  <c r="E20" i="4"/>
  <c r="F30" i="4"/>
  <c r="F26" i="4"/>
  <c r="F23" i="4"/>
  <c r="F19" i="4"/>
  <c r="F31" i="4" s="1"/>
  <c r="E23" i="4"/>
  <c r="E21" i="6"/>
  <c r="E27" i="6"/>
  <c r="E22" i="5"/>
  <c r="E29" i="5"/>
  <c r="F32" i="4" l="1"/>
  <c r="F22" i="4"/>
  <c r="F24" i="4" s="1"/>
  <c r="F23" i="3"/>
  <c r="E23" i="3"/>
  <c r="F33" i="4" l="1"/>
  <c r="E28" i="2"/>
  <c r="E21" i="2"/>
  <c r="E23" i="1" l="1"/>
  <c r="E30" i="1" l="1"/>
  <c r="D8" i="7"/>
  <c r="D7" i="7"/>
  <c r="D5" i="7"/>
  <c r="D4" i="7"/>
  <c r="M6" i="2"/>
  <c r="M5" i="2"/>
  <c r="D3" i="7"/>
  <c r="E32" i="6"/>
  <c r="E26" i="6"/>
  <c r="E19" i="6"/>
  <c r="E22" i="6" s="1"/>
  <c r="E24" i="6" s="1"/>
  <c r="O12" i="6"/>
  <c r="O11" i="6"/>
  <c r="O10" i="6"/>
  <c r="O9" i="6"/>
  <c r="O4" i="6"/>
  <c r="O5" i="6"/>
  <c r="O6" i="6"/>
  <c r="O3" i="6"/>
  <c r="N6" i="6"/>
  <c r="P6" i="6" s="1"/>
  <c r="N5" i="6"/>
  <c r="P5" i="6" s="1"/>
  <c r="N4" i="6"/>
  <c r="P4" i="6" s="1"/>
  <c r="N3" i="6"/>
  <c r="P3" i="6" s="1"/>
  <c r="N10" i="6"/>
  <c r="P10" i="6" s="1"/>
  <c r="N11" i="6"/>
  <c r="P11" i="6" s="1"/>
  <c r="N12" i="6"/>
  <c r="P12" i="6" s="1"/>
  <c r="N9" i="6"/>
  <c r="P9" i="6" s="1"/>
  <c r="E33" i="6" l="1"/>
  <c r="K4" i="5" l="1"/>
  <c r="K5" i="5"/>
  <c r="K6" i="5"/>
  <c r="K3" i="5"/>
  <c r="I5" i="5"/>
  <c r="I6" i="5"/>
  <c r="I3" i="5"/>
  <c r="E33" i="5" l="1"/>
  <c r="E28" i="5"/>
  <c r="E23" i="5"/>
  <c r="E26" i="5" s="1"/>
  <c r="E21" i="5"/>
  <c r="E20" i="5"/>
  <c r="E34" i="5" l="1"/>
  <c r="D6" i="7"/>
  <c r="M5" i="3" l="1"/>
  <c r="M4" i="3"/>
  <c r="K3" i="3"/>
  <c r="M3" i="3" s="1"/>
  <c r="L12" i="2" l="1"/>
  <c r="L11" i="2"/>
  <c r="L10" i="2"/>
  <c r="L6" i="2"/>
  <c r="L5" i="2"/>
  <c r="L4" i="2"/>
  <c r="M7" i="1" l="1"/>
  <c r="O7" i="1" s="1"/>
  <c r="M6" i="1"/>
  <c r="O6" i="1" s="1"/>
  <c r="M5" i="1"/>
  <c r="O5" i="1" s="1"/>
  <c r="M4" i="1"/>
  <c r="O4" i="1" s="1"/>
  <c r="E26" i="4"/>
  <c r="E30" i="4"/>
  <c r="E27" i="4"/>
  <c r="E19" i="4"/>
  <c r="E31" i="4" s="1"/>
  <c r="F22" i="3"/>
  <c r="F33" i="3"/>
  <c r="F29" i="3"/>
  <c r="E29" i="3"/>
  <c r="F30" i="3"/>
  <c r="F21" i="3"/>
  <c r="E33" i="3"/>
  <c r="E30" i="3"/>
  <c r="E22" i="3"/>
  <c r="E21" i="3"/>
  <c r="E31" i="2"/>
  <c r="E20" i="2"/>
  <c r="E19" i="2"/>
  <c r="E33" i="1"/>
  <c r="E22" i="1"/>
  <c r="E21" i="1"/>
  <c r="E32" i="4" l="1"/>
  <c r="E22" i="4"/>
  <c r="E24" i="4" s="1"/>
  <c r="F24" i="3"/>
  <c r="F27" i="3" s="1"/>
  <c r="F35" i="3"/>
  <c r="F34" i="3"/>
  <c r="F36" i="3" s="1"/>
  <c r="F37" i="3" s="1"/>
  <c r="E24" i="3"/>
  <c r="E27" i="3" s="1"/>
  <c r="E35" i="3"/>
  <c r="E34" i="3"/>
  <c r="E36" i="3" s="1"/>
  <c r="E37" i="3" s="1"/>
  <c r="E32" i="2"/>
  <c r="E22" i="2"/>
  <c r="E25" i="2" s="1"/>
  <c r="E34" i="1"/>
  <c r="E29" i="1"/>
  <c r="E35" i="1"/>
  <c r="E24" i="1"/>
  <c r="E27" i="1" s="1"/>
  <c r="E33" i="4" l="1"/>
  <c r="E36" i="1"/>
  <c r="E33" i="2"/>
</calcChain>
</file>

<file path=xl/sharedStrings.xml><?xml version="1.0" encoding="utf-8"?>
<sst xmlns="http://schemas.openxmlformats.org/spreadsheetml/2006/main" count="533" uniqueCount="155">
  <si>
    <t>S.no.</t>
  </si>
  <si>
    <t>Particular</t>
  </si>
  <si>
    <t>Unit</t>
  </si>
  <si>
    <t>Value</t>
  </si>
  <si>
    <t>Demand Charges</t>
  </si>
  <si>
    <t>INR/KVA/Month</t>
  </si>
  <si>
    <t>INR/kWh</t>
  </si>
  <si>
    <t>%</t>
  </si>
  <si>
    <t>State Transmission Charges LTOA</t>
  </si>
  <si>
    <t>INR/Kw/month</t>
  </si>
  <si>
    <t>State Transmission Charges STOA</t>
  </si>
  <si>
    <t>INR/Kwh</t>
  </si>
  <si>
    <t>State Transmission Losses</t>
  </si>
  <si>
    <t>State Wheeling Charges</t>
  </si>
  <si>
    <t>State Wheeling Losses</t>
  </si>
  <si>
    <t>Cross Subsidy Surcharge</t>
  </si>
  <si>
    <t>Additional Surcharge</t>
  </si>
  <si>
    <t>Electricity Duty</t>
  </si>
  <si>
    <t>Electricity Duty (captive and Group Captive)</t>
  </si>
  <si>
    <t>Banking Charges</t>
  </si>
  <si>
    <t>Application fee and Operating Charges</t>
  </si>
  <si>
    <t>₹/MW/Month</t>
  </si>
  <si>
    <t>Landed Cost</t>
  </si>
  <si>
    <t>S.No.</t>
  </si>
  <si>
    <t>Particulars</t>
  </si>
  <si>
    <t>UoM</t>
  </si>
  <si>
    <t>Cr. kWh</t>
  </si>
  <si>
    <t>Capacity</t>
  </si>
  <si>
    <t>MWac</t>
  </si>
  <si>
    <t>Expected CUF (AC)</t>
  </si>
  <si>
    <t>Expected energy generation/annum</t>
  </si>
  <si>
    <t>STU Transmission Losses</t>
  </si>
  <si>
    <t>Wheeling Losses</t>
  </si>
  <si>
    <t>Expected Energy after Losses</t>
  </si>
  <si>
    <t>Expected energy Delivered/annum</t>
  </si>
  <si>
    <t xml:space="preserve">Tariff at Injection point </t>
  </si>
  <si>
    <t>INR /kWh</t>
  </si>
  <si>
    <t xml:space="preserve">Transmission Charges </t>
  </si>
  <si>
    <t xml:space="preserve">Wheeling Charges </t>
  </si>
  <si>
    <t>Cross subsidy surcharge</t>
  </si>
  <si>
    <t>Application Fee and Operating charges</t>
  </si>
  <si>
    <t>Tariff at drawl point</t>
  </si>
  <si>
    <t>Tariff at drawl point including Losses</t>
  </si>
  <si>
    <t>Group Captive</t>
  </si>
  <si>
    <t>Units Wasted (back calculated)</t>
  </si>
  <si>
    <t>Banking Charges (of total generation (back calculated))</t>
  </si>
  <si>
    <t>Wind</t>
  </si>
  <si>
    <t>Hybrid</t>
  </si>
  <si>
    <t xml:space="preserve">Solar </t>
  </si>
  <si>
    <t>₹/Kw/Day</t>
  </si>
  <si>
    <t>₹/kW/Hr</t>
  </si>
  <si>
    <t>Subsidy on transmission charges</t>
  </si>
  <si>
    <t>Scheduling Charges</t>
  </si>
  <si>
    <t>System Operation Charges</t>
  </si>
  <si>
    <t>INR/day</t>
  </si>
  <si>
    <t>INR/MW/Day</t>
  </si>
  <si>
    <t>Landed Cost (ariyalur)</t>
  </si>
  <si>
    <t>₹/Kwh</t>
  </si>
  <si>
    <t>Operating Charge</t>
  </si>
  <si>
    <t>INR/MW</t>
  </si>
  <si>
    <t>Operating Charges</t>
  </si>
  <si>
    <t>Open Access Charges</t>
  </si>
  <si>
    <t>Grid</t>
  </si>
  <si>
    <t>TOD</t>
  </si>
  <si>
    <t>Base Tariff</t>
  </si>
  <si>
    <t>P&amp;G charges</t>
  </si>
  <si>
    <t>FAC Surcharge</t>
  </si>
  <si>
    <t>Tariff Charges (Rs/Kwh)</t>
  </si>
  <si>
    <t>TOD Charges (Rs/Kwh)</t>
  </si>
  <si>
    <t>TOD Tariff Charges(Rs/Kwh)</t>
  </si>
  <si>
    <t>06.00 Hrs to 09.00 Hrs</t>
  </si>
  <si>
    <t xml:space="preserve">(+)1.00 </t>
  </si>
  <si>
    <t>09.00 Hrs to 18.00 Hrs</t>
  </si>
  <si>
    <t>18.00 Hrs to 22.00 hrs</t>
  </si>
  <si>
    <t>(+)1.00</t>
  </si>
  <si>
    <t>22.00 Hrs to 06.00 Hrs</t>
  </si>
  <si>
    <t>(-)1.00</t>
  </si>
  <si>
    <t>Time of Day tariff (TOD) (Low Grid Demand) (Jun 25-Aug 25) &amp; (Nov 25- Jan'26)</t>
  </si>
  <si>
    <t>TOD Tariff (Rs/Kwh)</t>
  </si>
  <si>
    <t>FPPCA</t>
  </si>
  <si>
    <t>Landed TOD Tariff</t>
  </si>
  <si>
    <t>Peak</t>
  </si>
  <si>
    <t>6am - 10 am/ 6pm - 10pm</t>
  </si>
  <si>
    <t>Off-Peak</t>
  </si>
  <si>
    <t>12am - 6am, 10am - 3pm</t>
  </si>
  <si>
    <t>Normal</t>
  </si>
  <si>
    <t>3pm - 6pm, 10pm- 12am</t>
  </si>
  <si>
    <t>Time of Day tariff (TOD) (High Grid Demand) (Feb 26, Mar 26), (Apr’25- May 25) &amp; (Sep25-
Oct25)</t>
  </si>
  <si>
    <t>Tod Charges</t>
  </si>
  <si>
    <t>6.00A.M to 10.00 A.M 
6.00 P.M to 10.00 P.M.</t>
  </si>
  <si>
    <t>25% Extra on Energy Charges</t>
  </si>
  <si>
    <t>10.00 P.M to 5.00 A.M</t>
  </si>
  <si>
    <t>5% off on the energy charges</t>
  </si>
  <si>
    <t>5:00am-6:00 A.M 
10:00 A.M to 18:00 P.M</t>
  </si>
  <si>
    <t>-</t>
  </si>
  <si>
    <t>Energy Charge</t>
  </si>
  <si>
    <t>Capping of Banked Energy</t>
  </si>
  <si>
    <t>Voltage Level</t>
  </si>
  <si>
    <t>kV</t>
  </si>
  <si>
    <t>Units Wasted</t>
  </si>
  <si>
    <t>Solar</t>
  </si>
  <si>
    <t>33 kV</t>
  </si>
  <si>
    <t>inr/kW/month</t>
  </si>
  <si>
    <t>ToD</t>
  </si>
  <si>
    <t>ToD 2</t>
  </si>
  <si>
    <t>6:00 - 8:00</t>
  </si>
  <si>
    <t>ToD 1</t>
  </si>
  <si>
    <t>00:00 - 6:00
08:00 - 12:00
16:00 - 18:00
22:00 - 00:00</t>
  </si>
  <si>
    <t>ToD 4</t>
  </si>
  <si>
    <t>18:00 - 22:00</t>
  </si>
  <si>
    <t>ToD 3</t>
  </si>
  <si>
    <t>12:00 - 16:00</t>
  </si>
  <si>
    <t>Slot</t>
  </si>
  <si>
    <t>ED</t>
  </si>
  <si>
    <t>Landed Traiff</t>
  </si>
  <si>
    <t>Summer Months</t>
  </si>
  <si>
    <t>(April - Sept)</t>
  </si>
  <si>
    <t>5 - 10</t>
  </si>
  <si>
    <t>10 - 19</t>
  </si>
  <si>
    <t>19 - 3</t>
  </si>
  <si>
    <t>3 - 5</t>
  </si>
  <si>
    <t>Winter Months</t>
  </si>
  <si>
    <t>Oct - March</t>
  </si>
  <si>
    <t>5 - 11</t>
  </si>
  <si>
    <t>11 - 17</t>
  </si>
  <si>
    <t>17 - 23</t>
  </si>
  <si>
    <t>23 - 5</t>
  </si>
  <si>
    <t>ToD Tariff</t>
  </si>
  <si>
    <t>Tod Tariff</t>
  </si>
  <si>
    <t>Landed Tariff</t>
  </si>
  <si>
    <t>Hours</t>
  </si>
  <si>
    <t>Tod</t>
  </si>
  <si>
    <t>Operation &amp; Administration Charges</t>
  </si>
  <si>
    <t xml:space="preserve">after 50% exemption </t>
  </si>
  <si>
    <t>Tariff at Injection point</t>
  </si>
  <si>
    <t>Transmission Charges</t>
  </si>
  <si>
    <t>Wheeling Charges</t>
  </si>
  <si>
    <t>Open access charge</t>
  </si>
  <si>
    <t>Grid Tariff</t>
  </si>
  <si>
    <t>Open access Charges</t>
  </si>
  <si>
    <t>Grid tariff</t>
  </si>
  <si>
    <t>S No.</t>
  </si>
  <si>
    <t>State</t>
  </si>
  <si>
    <t xml:space="preserve">Karnataka </t>
  </si>
  <si>
    <t xml:space="preserve">Andhra Pradesh </t>
  </si>
  <si>
    <t>Tamil Nadu</t>
  </si>
  <si>
    <t>Maharashtra</t>
  </si>
  <si>
    <t>Rajasthan</t>
  </si>
  <si>
    <t>UP</t>
  </si>
  <si>
    <t>https://aperc.gov.in/admin/upload/MYTOrderforWheelingBusinessforthe5thControlPeriodFY202425toFY202829.pdf Page 80</t>
  </si>
  <si>
    <t>Grid Landed Tariff (₹/kWh)</t>
  </si>
  <si>
    <t>132 kV Landed Tariff (₹/kWh)</t>
  </si>
  <si>
    <t xml:space="preserve">33 kV Landed Tariff(₹/kWh) </t>
  </si>
  <si>
    <t xml:space="preserve">Solar @ 33kv Injection </t>
  </si>
  <si>
    <t xml:space="preserve">Solar @ 132kv Injection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</si>
</sst>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FFC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2" fontId="2" fillId="4" borderId="1" xfId="0" applyNumberFormat="1" applyFont="1" applyFill="1" applyBorder="1" applyAlignment="1">
      <alignment horizontal="center"/>
    </xf>
    <xf numFmtId="9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/>
    </xf>
    <xf numFmtId="0" fontId="6" fillId="0" borderId="4" xfId="0" applyFont="1" applyBorder="1"/>
    <xf numFmtId="0" fontId="6" fillId="8" borderId="4" xfId="0" applyFont="1" applyFill="1" applyBorder="1" applyAlignment="1">
      <alignment horizontal="center"/>
    </xf>
    <xf numFmtId="0" fontId="6" fillId="8" borderId="4" xfId="0" applyFont="1" applyFill="1" applyBorder="1"/>
    <xf numFmtId="2" fontId="5" fillId="0" borderId="4" xfId="0" applyNumberFormat="1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10" fontId="5" fillId="0" borderId="4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6" fillId="8" borderId="4" xfId="0" applyNumberFormat="1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9" borderId="4" xfId="0" applyFont="1" applyFill="1" applyBorder="1"/>
    <xf numFmtId="2" fontId="6" fillId="9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0" fontId="8" fillId="0" borderId="0" xfId="2"/>
    <xf numFmtId="0" fontId="2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erc.gov.in/admin/upload/MYTOrderforWheelingBusinessforthe5thControlPeriodFY202425toFY202829.pdf%20Page%2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6AFB-6F02-46B0-9F7D-490449B30C5F}">
  <dimension ref="B2:F8"/>
  <sheetViews>
    <sheetView workbookViewId="0">
      <selection activeCell="F37" sqref="F37"/>
    </sheetView>
  </sheetViews>
  <sheetFormatPr defaultRowHeight="14.4" x14ac:dyDescent="0.3"/>
  <cols>
    <col min="2" max="2" width="5.44140625" bestFit="1" customWidth="1"/>
    <col min="3" max="3" width="14.21875" bestFit="1" customWidth="1"/>
    <col min="4" max="4" width="23.88671875" bestFit="1" customWidth="1"/>
    <col min="5" max="5" width="26.21875" bestFit="1" customWidth="1"/>
    <col min="6" max="6" width="25.109375" bestFit="1" customWidth="1"/>
  </cols>
  <sheetData>
    <row r="2" spans="2:6" x14ac:dyDescent="0.3">
      <c r="B2" s="1" t="s">
        <v>141</v>
      </c>
      <c r="C2" s="1" t="s">
        <v>142</v>
      </c>
      <c r="D2" s="1" t="s">
        <v>150</v>
      </c>
      <c r="E2" s="1" t="s">
        <v>151</v>
      </c>
      <c r="F2" s="1" t="s">
        <v>152</v>
      </c>
    </row>
    <row r="3" spans="2:6" x14ac:dyDescent="0.3">
      <c r="B3" s="2">
        <v>1</v>
      </c>
      <c r="C3" s="2" t="s">
        <v>143</v>
      </c>
      <c r="D3" s="4">
        <f>AVERAGE(Karnataka!O4:O7)</f>
        <v>7.984</v>
      </c>
      <c r="E3" s="4">
        <v>4.4404182040578792</v>
      </c>
      <c r="F3" s="4">
        <v>5.0794518234153481</v>
      </c>
    </row>
    <row r="4" spans="2:6" x14ac:dyDescent="0.3">
      <c r="B4" s="2">
        <v>2</v>
      </c>
      <c r="C4" s="2" t="s">
        <v>144</v>
      </c>
      <c r="D4" s="4">
        <f>SUMPRODUCT('Andhra pradesh'!L4:L6,'Andhra pradesh'!M4:M6)/SUM('Andhra pradesh'!M4:M6)</f>
        <v>5.8495833333333342</v>
      </c>
      <c r="E4" s="4">
        <v>4.251191529668052</v>
      </c>
      <c r="F4" s="4">
        <v>4.7557521405124925</v>
      </c>
    </row>
    <row r="5" spans="2:6" x14ac:dyDescent="0.3">
      <c r="B5" s="2">
        <v>3</v>
      </c>
      <c r="C5" s="2" t="s">
        <v>145</v>
      </c>
      <c r="D5" s="4">
        <f>SUMPRODUCT('Tamil Nadu'!M3:M5,'Tamil Nadu'!N3:N5)/SUM('Tamil Nadu'!N3:N5)</f>
        <v>8.4156250000000004</v>
      </c>
      <c r="E5" s="4">
        <v>4.3498595728498719</v>
      </c>
      <c r="F5" s="4">
        <v>5.7663848760379581</v>
      </c>
    </row>
    <row r="6" spans="2:6" x14ac:dyDescent="0.3">
      <c r="B6" s="2">
        <v>4</v>
      </c>
      <c r="C6" s="2" t="s">
        <v>146</v>
      </c>
      <c r="D6" s="4" t="e">
        <f>SUMPRODUCT(Maharashtra!L3:L5,Maharashtra!M3:M5)/SUM(Maharashtra!M3:M5)</f>
        <v>#DIV/0!</v>
      </c>
      <c r="E6" s="4">
        <v>4.6809492869809697</v>
      </c>
      <c r="F6" s="4">
        <v>5.7587757280998604</v>
      </c>
    </row>
    <row r="7" spans="2:6" x14ac:dyDescent="0.3">
      <c r="B7" s="2">
        <v>5</v>
      </c>
      <c r="C7" s="2" t="s">
        <v>147</v>
      </c>
      <c r="D7" s="4">
        <f>SUMPRODUCT('Rajasthan '!K3:K6,'Rajasthan '!L3:L6)/SUM('Rajasthan '!L3:L6)</f>
        <v>6.927083333333333</v>
      </c>
      <c r="E7" s="4">
        <v>4.5676764084584729</v>
      </c>
      <c r="F7" s="4">
        <v>4.8785873017562684</v>
      </c>
    </row>
    <row r="8" spans="2:6" x14ac:dyDescent="0.3">
      <c r="B8" s="2">
        <v>6</v>
      </c>
      <c r="C8" s="2" t="s">
        <v>148</v>
      </c>
      <c r="D8" s="4">
        <f>AVERAGE(UP!P9:P12)</f>
        <v>6.5574999999999992</v>
      </c>
      <c r="E8" s="4">
        <v>4.1355316454559334</v>
      </c>
      <c r="F8" s="4">
        <v>4.8412558351545076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6"/>
  <sheetViews>
    <sheetView topLeftCell="A10" zoomScale="95" workbookViewId="0">
      <selection activeCell="F37" sqref="F37"/>
    </sheetView>
  </sheetViews>
  <sheetFormatPr defaultRowHeight="14.4" x14ac:dyDescent="0.3"/>
  <cols>
    <col min="3" max="3" width="36.77734375" bestFit="1" customWidth="1"/>
    <col min="4" max="4" width="14.33203125" bestFit="1" customWidth="1"/>
    <col min="5" max="5" width="12.5546875" bestFit="1" customWidth="1"/>
    <col min="6" max="6" width="11.5546875" bestFit="1" customWidth="1"/>
    <col min="7" max="7" width="10.5546875" bestFit="1" customWidth="1"/>
    <col min="8" max="8" width="19.88671875" bestFit="1" customWidth="1"/>
    <col min="9" max="9" width="9.77734375" bestFit="1" customWidth="1"/>
    <col min="10" max="10" width="11.6640625" bestFit="1" customWidth="1"/>
    <col min="11" max="11" width="13.6640625" bestFit="1" customWidth="1"/>
    <col min="12" max="12" width="13.21875" bestFit="1" customWidth="1"/>
    <col min="13" max="13" width="21" bestFit="1" customWidth="1"/>
    <col min="14" max="14" width="20.109375" bestFit="1" customWidth="1"/>
    <col min="15" max="15" width="24.6640625" bestFit="1" customWidth="1"/>
  </cols>
  <sheetData>
    <row r="2" spans="2:15" x14ac:dyDescent="0.3">
      <c r="B2" s="59" t="s">
        <v>61</v>
      </c>
      <c r="C2" s="59"/>
      <c r="D2" s="59"/>
      <c r="E2" s="59"/>
      <c r="H2" s="28" t="s">
        <v>62</v>
      </c>
    </row>
    <row r="3" spans="2:15" x14ac:dyDescent="0.3">
      <c r="B3" s="1" t="s">
        <v>0</v>
      </c>
      <c r="C3" s="1" t="s">
        <v>1</v>
      </c>
      <c r="D3" s="1" t="s">
        <v>2</v>
      </c>
      <c r="E3" s="1" t="s">
        <v>3</v>
      </c>
      <c r="H3" s="1" t="s">
        <v>63</v>
      </c>
      <c r="I3" s="1" t="s">
        <v>64</v>
      </c>
      <c r="J3" s="1" t="s">
        <v>65</v>
      </c>
      <c r="K3" s="1" t="s">
        <v>17</v>
      </c>
      <c r="L3" s="1" t="s">
        <v>66</v>
      </c>
      <c r="M3" s="1" t="s">
        <v>67</v>
      </c>
      <c r="N3" s="1" t="s">
        <v>68</v>
      </c>
      <c r="O3" s="1" t="s">
        <v>69</v>
      </c>
    </row>
    <row r="4" spans="2:15" x14ac:dyDescent="0.3">
      <c r="B4" s="2">
        <v>1</v>
      </c>
      <c r="C4" s="2" t="s">
        <v>4</v>
      </c>
      <c r="D4" s="2" t="s">
        <v>5</v>
      </c>
      <c r="E4" s="2">
        <v>365</v>
      </c>
      <c r="H4" s="2" t="s">
        <v>70</v>
      </c>
      <c r="I4" s="2">
        <v>6.6</v>
      </c>
      <c r="J4" s="2">
        <v>0.36</v>
      </c>
      <c r="K4" s="2">
        <v>0.59399999999999997</v>
      </c>
      <c r="L4" s="2">
        <v>0.18</v>
      </c>
      <c r="M4" s="10">
        <f>I4+J4+K4+L4</f>
        <v>7.734</v>
      </c>
      <c r="N4" s="2" t="s">
        <v>71</v>
      </c>
      <c r="O4" s="2">
        <f>M4+1</f>
        <v>8.734</v>
      </c>
    </row>
    <row r="5" spans="2:15" x14ac:dyDescent="0.3">
      <c r="B5" s="2">
        <v>2</v>
      </c>
      <c r="C5" s="2" t="s">
        <v>8</v>
      </c>
      <c r="D5" s="2" t="s">
        <v>9</v>
      </c>
      <c r="E5" s="4">
        <v>229.09</v>
      </c>
      <c r="H5" s="2" t="s">
        <v>72</v>
      </c>
      <c r="I5" s="2">
        <v>6.6</v>
      </c>
      <c r="J5" s="2">
        <v>0.36</v>
      </c>
      <c r="K5" s="2">
        <v>0.59399999999999997</v>
      </c>
      <c r="L5" s="2">
        <v>0.18</v>
      </c>
      <c r="M5" s="10">
        <f t="shared" ref="M5:M7" si="0">I5+J5+K5+L5</f>
        <v>7.734</v>
      </c>
      <c r="N5" s="2">
        <v>0</v>
      </c>
      <c r="O5" s="2">
        <f>M5</f>
        <v>7.734</v>
      </c>
    </row>
    <row r="6" spans="2:15" x14ac:dyDescent="0.3">
      <c r="B6" s="2">
        <v>3</v>
      </c>
      <c r="C6" s="2" t="s">
        <v>10</v>
      </c>
      <c r="D6" s="2" t="s">
        <v>11</v>
      </c>
      <c r="E6" s="4">
        <v>0.65519000000000005</v>
      </c>
      <c r="H6" s="2" t="s">
        <v>73</v>
      </c>
      <c r="I6" s="2">
        <v>6.6</v>
      </c>
      <c r="J6" s="2">
        <v>0.36</v>
      </c>
      <c r="K6" s="2">
        <v>0.59399999999999997</v>
      </c>
      <c r="L6" s="2">
        <v>0.18</v>
      </c>
      <c r="M6" s="10">
        <f t="shared" si="0"/>
        <v>7.734</v>
      </c>
      <c r="N6" s="2" t="s">
        <v>74</v>
      </c>
      <c r="O6" s="2">
        <f>M6+1</f>
        <v>8.734</v>
      </c>
    </row>
    <row r="7" spans="2:15" x14ac:dyDescent="0.3">
      <c r="B7" s="2">
        <v>4</v>
      </c>
      <c r="C7" s="2" t="s">
        <v>12</v>
      </c>
      <c r="D7" s="2" t="s">
        <v>7</v>
      </c>
      <c r="E7" s="5">
        <v>2.87E-2</v>
      </c>
      <c r="H7" s="2" t="s">
        <v>75</v>
      </c>
      <c r="I7" s="2">
        <v>6.6</v>
      </c>
      <c r="J7" s="2">
        <v>0.36</v>
      </c>
      <c r="K7" s="2">
        <v>0.59399999999999997</v>
      </c>
      <c r="L7" s="2">
        <v>0.18</v>
      </c>
      <c r="M7" s="10">
        <f t="shared" si="0"/>
        <v>7.734</v>
      </c>
      <c r="N7" s="2" t="s">
        <v>76</v>
      </c>
      <c r="O7" s="2">
        <f>M7-1</f>
        <v>6.734</v>
      </c>
    </row>
    <row r="8" spans="2:15" x14ac:dyDescent="0.3">
      <c r="B8" s="2">
        <v>5</v>
      </c>
      <c r="C8" s="2" t="s">
        <v>13</v>
      </c>
      <c r="D8" s="2" t="s">
        <v>6</v>
      </c>
      <c r="E8" s="2">
        <v>0.37</v>
      </c>
    </row>
    <row r="9" spans="2:15" x14ac:dyDescent="0.3">
      <c r="B9" s="2">
        <v>6</v>
      </c>
      <c r="C9" s="2" t="s">
        <v>14</v>
      </c>
      <c r="D9" s="2" t="s">
        <v>7</v>
      </c>
      <c r="E9" s="5">
        <v>0.05</v>
      </c>
    </row>
    <row r="10" spans="2:15" x14ac:dyDescent="0.3">
      <c r="B10" s="2">
        <v>7</v>
      </c>
      <c r="C10" s="2" t="s">
        <v>15</v>
      </c>
      <c r="D10" s="2" t="s">
        <v>6</v>
      </c>
      <c r="E10" s="2">
        <v>1.87</v>
      </c>
    </row>
    <row r="11" spans="2:15" x14ac:dyDescent="0.3">
      <c r="B11" s="2">
        <v>8</v>
      </c>
      <c r="C11" s="2" t="s">
        <v>16</v>
      </c>
      <c r="D11" s="2" t="s">
        <v>6</v>
      </c>
      <c r="E11" s="2">
        <v>0</v>
      </c>
    </row>
    <row r="12" spans="2:15" x14ac:dyDescent="0.3">
      <c r="B12" s="2">
        <v>9</v>
      </c>
      <c r="C12" s="2" t="s">
        <v>17</v>
      </c>
      <c r="D12" s="2" t="s">
        <v>6</v>
      </c>
      <c r="E12" s="2">
        <v>0.59</v>
      </c>
    </row>
    <row r="13" spans="2:15" x14ac:dyDescent="0.3">
      <c r="B13" s="2">
        <v>10</v>
      </c>
      <c r="C13" s="2" t="s">
        <v>18</v>
      </c>
      <c r="D13" s="2" t="s">
        <v>6</v>
      </c>
      <c r="E13" s="2">
        <v>0.2</v>
      </c>
    </row>
    <row r="14" spans="2:15" x14ac:dyDescent="0.3">
      <c r="B14" s="2">
        <v>11</v>
      </c>
      <c r="C14" s="2" t="s">
        <v>19</v>
      </c>
      <c r="D14" s="2" t="s">
        <v>7</v>
      </c>
      <c r="E14" s="6">
        <v>0.08</v>
      </c>
    </row>
    <row r="15" spans="2:15" x14ac:dyDescent="0.3">
      <c r="B15" s="2">
        <v>12</v>
      </c>
      <c r="C15" s="2" t="s">
        <v>20</v>
      </c>
      <c r="D15" s="8" t="s">
        <v>21</v>
      </c>
      <c r="E15" s="8">
        <v>2436</v>
      </c>
    </row>
    <row r="17" spans="2:6" x14ac:dyDescent="0.3">
      <c r="B17" s="59" t="s">
        <v>22</v>
      </c>
      <c r="C17" s="59"/>
      <c r="D17" s="59"/>
      <c r="E17" s="59"/>
    </row>
    <row r="18" spans="2:6" x14ac:dyDescent="0.3">
      <c r="B18" s="1" t="s">
        <v>23</v>
      </c>
      <c r="C18" s="1" t="s">
        <v>24</v>
      </c>
      <c r="D18" s="1" t="s">
        <v>25</v>
      </c>
      <c r="E18" s="1" t="s">
        <v>47</v>
      </c>
    </row>
    <row r="19" spans="2:6" x14ac:dyDescent="0.3">
      <c r="B19" s="2">
        <v>1</v>
      </c>
      <c r="C19" s="9" t="s">
        <v>27</v>
      </c>
      <c r="D19" s="2" t="s">
        <v>28</v>
      </c>
      <c r="E19" s="4">
        <v>1</v>
      </c>
    </row>
    <row r="20" spans="2:6" x14ac:dyDescent="0.3">
      <c r="B20" s="2">
        <v>2</v>
      </c>
      <c r="C20" s="9" t="s">
        <v>29</v>
      </c>
      <c r="D20" s="2" t="s">
        <v>7</v>
      </c>
      <c r="E20" s="6">
        <v>0.55962118788520032</v>
      </c>
    </row>
    <row r="21" spans="2:6" x14ac:dyDescent="0.3">
      <c r="B21" s="2">
        <v>3</v>
      </c>
      <c r="C21" s="9" t="s">
        <v>30</v>
      </c>
      <c r="D21" s="2" t="s">
        <v>26</v>
      </c>
      <c r="E21" s="4">
        <f>E19*E20*24*365*1000/10^7</f>
        <v>0.49022816058743557</v>
      </c>
    </row>
    <row r="22" spans="2:6" x14ac:dyDescent="0.3">
      <c r="B22" s="2">
        <v>4</v>
      </c>
      <c r="C22" s="9" t="s">
        <v>31</v>
      </c>
      <c r="D22" s="2" t="s">
        <v>7</v>
      </c>
      <c r="E22" s="3">
        <f>E7</f>
        <v>2.87E-2</v>
      </c>
    </row>
    <row r="23" spans="2:6" x14ac:dyDescent="0.3">
      <c r="B23" s="2">
        <v>5</v>
      </c>
      <c r="C23" s="9" t="s">
        <v>32</v>
      </c>
      <c r="D23" s="2" t="s">
        <v>7</v>
      </c>
      <c r="E23" s="6">
        <f>E9</f>
        <v>0.05</v>
      </c>
    </row>
    <row r="24" spans="2:6" x14ac:dyDescent="0.3">
      <c r="B24" s="10">
        <v>6</v>
      </c>
      <c r="C24" s="11" t="s">
        <v>33</v>
      </c>
      <c r="D24" s="10" t="s">
        <v>26</v>
      </c>
      <c r="E24" s="13">
        <f>E21*(1-E22)*(1-E23)</f>
        <v>0.45235068175964738</v>
      </c>
    </row>
    <row r="25" spans="2:6" x14ac:dyDescent="0.3">
      <c r="B25" s="2">
        <v>7</v>
      </c>
      <c r="C25" s="9" t="s">
        <v>45</v>
      </c>
      <c r="D25" s="2" t="s">
        <v>7</v>
      </c>
      <c r="E25" s="3">
        <v>1.0721047758057997E-2</v>
      </c>
    </row>
    <row r="26" spans="2:6" x14ac:dyDescent="0.3">
      <c r="B26" s="2">
        <v>8</v>
      </c>
      <c r="C26" s="9" t="s">
        <v>44</v>
      </c>
      <c r="D26" s="2" t="s">
        <v>7</v>
      </c>
      <c r="E26" s="3">
        <v>0</v>
      </c>
    </row>
    <row r="27" spans="2:6" x14ac:dyDescent="0.3">
      <c r="B27" s="14">
        <v>9</v>
      </c>
      <c r="C27" s="15" t="s">
        <v>34</v>
      </c>
      <c r="D27" s="14" t="s">
        <v>26</v>
      </c>
      <c r="E27" s="16">
        <f>E24*(1-E25)*(1-E26)</f>
        <v>0.44750100849711211</v>
      </c>
    </row>
    <row r="28" spans="2:6" x14ac:dyDescent="0.3">
      <c r="B28" s="2">
        <v>10</v>
      </c>
      <c r="C28" s="9" t="s">
        <v>35</v>
      </c>
      <c r="D28" s="2" t="s">
        <v>36</v>
      </c>
      <c r="E28" s="4">
        <v>3.5</v>
      </c>
    </row>
    <row r="29" spans="2:6" x14ac:dyDescent="0.3">
      <c r="B29" s="2">
        <v>11</v>
      </c>
      <c r="C29" s="9" t="s">
        <v>37</v>
      </c>
      <c r="D29" s="2" t="s">
        <v>36</v>
      </c>
      <c r="E29" s="4">
        <f>E5*E19*12*1000/(E21*10^7)</f>
        <v>0.5607756185825401</v>
      </c>
    </row>
    <row r="30" spans="2:6" x14ac:dyDescent="0.3">
      <c r="B30" s="2">
        <v>12</v>
      </c>
      <c r="C30" s="9" t="s">
        <v>38</v>
      </c>
      <c r="D30" s="2" t="s">
        <v>36</v>
      </c>
      <c r="E30" s="4">
        <f>E8</f>
        <v>0.37</v>
      </c>
      <c r="F30" s="27"/>
    </row>
    <row r="31" spans="2:6" x14ac:dyDescent="0.3">
      <c r="B31" s="2">
        <v>13</v>
      </c>
      <c r="C31" s="9" t="s">
        <v>39</v>
      </c>
      <c r="D31" s="2" t="s">
        <v>36</v>
      </c>
      <c r="E31" s="4">
        <v>0</v>
      </c>
    </row>
    <row r="32" spans="2:6" x14ac:dyDescent="0.3">
      <c r="B32" s="2">
        <v>14</v>
      </c>
      <c r="C32" s="9" t="s">
        <v>16</v>
      </c>
      <c r="D32" s="2" t="s">
        <v>36</v>
      </c>
      <c r="E32" s="4">
        <v>0</v>
      </c>
    </row>
    <row r="33" spans="2:5" x14ac:dyDescent="0.3">
      <c r="B33" s="2">
        <v>15</v>
      </c>
      <c r="C33" s="9" t="s">
        <v>17</v>
      </c>
      <c r="D33" s="2" t="s">
        <v>36</v>
      </c>
      <c r="E33" s="4">
        <f>E13</f>
        <v>0.2</v>
      </c>
    </row>
    <row r="34" spans="2:5" x14ac:dyDescent="0.3">
      <c r="B34" s="2">
        <v>16</v>
      </c>
      <c r="C34" s="9" t="s">
        <v>40</v>
      </c>
      <c r="D34" s="2" t="s">
        <v>36</v>
      </c>
      <c r="E34" s="4">
        <f>E15*E19*12/(E21*10^7)</f>
        <v>5.9629377400456929E-3</v>
      </c>
    </row>
    <row r="35" spans="2:5" x14ac:dyDescent="0.3">
      <c r="B35" s="10">
        <v>17</v>
      </c>
      <c r="C35" s="11" t="s">
        <v>41</v>
      </c>
      <c r="D35" s="10" t="s">
        <v>36</v>
      </c>
      <c r="E35" s="12">
        <f>SUM(E28:E34)</f>
        <v>4.6367385563225865</v>
      </c>
    </row>
    <row r="36" spans="2:5" x14ac:dyDescent="0.3">
      <c r="B36" s="17">
        <v>18</v>
      </c>
      <c r="C36" s="18" t="s">
        <v>42</v>
      </c>
      <c r="D36" s="17" t="s">
        <v>36</v>
      </c>
      <c r="E36" s="19">
        <f>E35*E21/E27</f>
        <v>5.0794518234153481</v>
      </c>
    </row>
  </sheetData>
  <mergeCells count="2">
    <mergeCell ref="B2:E2"/>
    <mergeCell ref="B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5C3F-19FC-466C-836F-829C01BF88FD}">
  <dimension ref="B1:M33"/>
  <sheetViews>
    <sheetView zoomScale="122" workbookViewId="0">
      <selection activeCell="F37" sqref="F37"/>
    </sheetView>
  </sheetViews>
  <sheetFormatPr defaultRowHeight="14.4" x14ac:dyDescent="0.3"/>
  <cols>
    <col min="3" max="3" width="36.77734375" bestFit="1" customWidth="1"/>
    <col min="4" max="4" width="14.33203125" bestFit="1" customWidth="1"/>
    <col min="5" max="5" width="12.5546875" bestFit="1" customWidth="1"/>
    <col min="6" max="6" width="11.5546875" bestFit="1" customWidth="1"/>
    <col min="7" max="7" width="15.33203125" customWidth="1"/>
    <col min="8" max="8" width="22.6640625" bestFit="1" customWidth="1"/>
    <col min="9" max="9" width="17.88671875" bestFit="1" customWidth="1"/>
    <col min="10" max="10" width="13.6640625" bestFit="1" customWidth="1"/>
    <col min="11" max="11" width="6.44140625" bestFit="1" customWidth="1"/>
    <col min="12" max="12" width="16.21875" bestFit="1" customWidth="1"/>
  </cols>
  <sheetData>
    <row r="1" spans="2:13" x14ac:dyDescent="0.3">
      <c r="B1" t="s">
        <v>137</v>
      </c>
      <c r="G1" t="s">
        <v>138</v>
      </c>
    </row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G2" t="s">
        <v>77</v>
      </c>
    </row>
    <row r="3" spans="2:13" x14ac:dyDescent="0.3">
      <c r="B3" s="2">
        <v>1</v>
      </c>
      <c r="C3" s="2" t="s">
        <v>4</v>
      </c>
      <c r="D3" s="2" t="s">
        <v>5</v>
      </c>
      <c r="E3" s="2">
        <v>475</v>
      </c>
      <c r="G3" s="30"/>
      <c r="H3" s="31" t="s">
        <v>63</v>
      </c>
      <c r="I3" s="31" t="s">
        <v>78</v>
      </c>
      <c r="J3" s="31" t="s">
        <v>17</v>
      </c>
      <c r="K3" s="31" t="s">
        <v>79</v>
      </c>
      <c r="L3" s="31" t="s">
        <v>80</v>
      </c>
    </row>
    <row r="4" spans="2:13" x14ac:dyDescent="0.3">
      <c r="B4" s="2">
        <v>2</v>
      </c>
      <c r="C4" s="2" t="s">
        <v>8</v>
      </c>
      <c r="D4" s="2" t="s">
        <v>11</v>
      </c>
      <c r="E4" s="4">
        <v>0.2</v>
      </c>
      <c r="G4" s="32" t="s">
        <v>81</v>
      </c>
      <c r="H4" s="32" t="s">
        <v>82</v>
      </c>
      <c r="I4" s="32">
        <v>6.4</v>
      </c>
      <c r="J4" s="32">
        <v>0.06</v>
      </c>
      <c r="K4" s="32">
        <v>0.4</v>
      </c>
      <c r="L4" s="32">
        <f>SUM(I4:K4)</f>
        <v>6.86</v>
      </c>
      <c r="M4" s="55">
        <v>8</v>
      </c>
    </row>
    <row r="5" spans="2:13" x14ac:dyDescent="0.3">
      <c r="B5" s="2">
        <v>3</v>
      </c>
      <c r="C5" s="2" t="s">
        <v>10</v>
      </c>
      <c r="D5" s="2" t="s">
        <v>11</v>
      </c>
      <c r="E5" s="4">
        <v>0.2</v>
      </c>
      <c r="G5" s="32" t="s">
        <v>83</v>
      </c>
      <c r="H5" s="32" t="s">
        <v>84</v>
      </c>
      <c r="I5" s="32">
        <v>4.6500000000000004</v>
      </c>
      <c r="J5" s="32">
        <v>0.06</v>
      </c>
      <c r="K5" s="32">
        <v>0.4</v>
      </c>
      <c r="L5" s="32">
        <f>SUM(I5:K5)</f>
        <v>5.1100000000000003</v>
      </c>
      <c r="M5">
        <f>6+5</f>
        <v>11</v>
      </c>
    </row>
    <row r="6" spans="2:13" x14ac:dyDescent="0.3">
      <c r="B6" s="2">
        <v>4</v>
      </c>
      <c r="C6" s="2" t="s">
        <v>12</v>
      </c>
      <c r="D6" s="2" t="s">
        <v>7</v>
      </c>
      <c r="E6" s="5">
        <v>2.8000000000000001E-2</v>
      </c>
      <c r="G6" s="32" t="s">
        <v>85</v>
      </c>
      <c r="H6" s="32" t="s">
        <v>86</v>
      </c>
      <c r="I6" s="32">
        <v>5.4</v>
      </c>
      <c r="J6" s="32">
        <v>0.06</v>
      </c>
      <c r="K6" s="32">
        <v>0.4</v>
      </c>
      <c r="L6" s="32">
        <f>SUM(I6:K6)</f>
        <v>5.86</v>
      </c>
      <c r="M6">
        <f>3+2</f>
        <v>5</v>
      </c>
    </row>
    <row r="7" spans="2:13" x14ac:dyDescent="0.3">
      <c r="B7" s="2">
        <v>5</v>
      </c>
      <c r="C7" s="2" t="s">
        <v>13</v>
      </c>
      <c r="D7" s="2" t="s">
        <v>6</v>
      </c>
      <c r="E7" s="2">
        <v>0.47</v>
      </c>
      <c r="F7" s="57" t="s">
        <v>149</v>
      </c>
    </row>
    <row r="8" spans="2:13" x14ac:dyDescent="0.3">
      <c r="B8" s="2">
        <v>6</v>
      </c>
      <c r="C8" s="2" t="s">
        <v>14</v>
      </c>
      <c r="D8" s="2" t="s">
        <v>7</v>
      </c>
      <c r="E8" s="5">
        <v>2.98E-2</v>
      </c>
      <c r="G8" t="s">
        <v>87</v>
      </c>
    </row>
    <row r="9" spans="2:13" x14ac:dyDescent="0.3">
      <c r="B9" s="2">
        <v>7</v>
      </c>
      <c r="C9" s="2" t="s">
        <v>15</v>
      </c>
      <c r="D9" s="2" t="s">
        <v>6</v>
      </c>
      <c r="E9" s="2">
        <v>1.55</v>
      </c>
      <c r="G9" s="30"/>
      <c r="H9" s="31" t="s">
        <v>63</v>
      </c>
      <c r="I9" s="31" t="s">
        <v>78</v>
      </c>
      <c r="J9" s="31" t="s">
        <v>17</v>
      </c>
      <c r="K9" s="31" t="s">
        <v>79</v>
      </c>
      <c r="L9" s="31" t="s">
        <v>80</v>
      </c>
    </row>
    <row r="10" spans="2:13" x14ac:dyDescent="0.3">
      <c r="B10" s="2">
        <v>8</v>
      </c>
      <c r="C10" s="2" t="s">
        <v>16</v>
      </c>
      <c r="D10" s="2" t="s">
        <v>6</v>
      </c>
      <c r="E10" s="2">
        <v>0.93</v>
      </c>
      <c r="G10" s="32" t="s">
        <v>81</v>
      </c>
      <c r="H10" s="32" t="s">
        <v>82</v>
      </c>
      <c r="I10" s="32">
        <v>6.9</v>
      </c>
      <c r="J10" s="32">
        <v>0.06</v>
      </c>
      <c r="K10" s="32">
        <v>0.4</v>
      </c>
      <c r="L10" s="32">
        <f>SUM(I10:K10)</f>
        <v>7.36</v>
      </c>
    </row>
    <row r="11" spans="2:13" x14ac:dyDescent="0.3">
      <c r="B11" s="2">
        <v>9</v>
      </c>
      <c r="C11" s="2" t="s">
        <v>17</v>
      </c>
      <c r="D11" s="2" t="s">
        <v>6</v>
      </c>
      <c r="E11" s="2">
        <v>0.06</v>
      </c>
      <c r="G11" s="32" t="s">
        <v>83</v>
      </c>
      <c r="H11" s="32" t="s">
        <v>84</v>
      </c>
      <c r="I11" s="32">
        <v>4.6500000000000004</v>
      </c>
      <c r="J11" s="32">
        <v>0.06</v>
      </c>
      <c r="K11" s="32">
        <v>0.4</v>
      </c>
      <c r="L11" s="32">
        <f>SUM(I11:K11)</f>
        <v>5.1100000000000003</v>
      </c>
    </row>
    <row r="12" spans="2:13" x14ac:dyDescent="0.3">
      <c r="B12" s="2">
        <v>10</v>
      </c>
      <c r="C12" s="2" t="s">
        <v>18</v>
      </c>
      <c r="D12" s="2" t="s">
        <v>6</v>
      </c>
      <c r="E12" s="2">
        <v>0.06</v>
      </c>
      <c r="G12" s="32" t="s">
        <v>85</v>
      </c>
      <c r="H12" s="32" t="s">
        <v>86</v>
      </c>
      <c r="I12" s="32">
        <v>5.4</v>
      </c>
      <c r="J12" s="32">
        <v>0.06</v>
      </c>
      <c r="K12" s="32">
        <v>0.4</v>
      </c>
      <c r="L12" s="32">
        <f>SUM(I12:K12)</f>
        <v>5.86</v>
      </c>
    </row>
    <row r="13" spans="2:13" x14ac:dyDescent="0.3">
      <c r="B13" s="2">
        <v>11</v>
      </c>
      <c r="C13" s="2" t="s">
        <v>19</v>
      </c>
      <c r="D13" s="2" t="s">
        <v>7</v>
      </c>
      <c r="E13" s="6">
        <v>0.08</v>
      </c>
    </row>
    <row r="15" spans="2:13" x14ac:dyDescent="0.3">
      <c r="B15" t="s">
        <v>22</v>
      </c>
      <c r="E15" t="s">
        <v>43</v>
      </c>
    </row>
    <row r="16" spans="2:13" x14ac:dyDescent="0.3">
      <c r="B16" s="1" t="s">
        <v>23</v>
      </c>
      <c r="C16" s="1" t="s">
        <v>24</v>
      </c>
      <c r="D16" s="1" t="s">
        <v>25</v>
      </c>
      <c r="E16" s="1" t="s">
        <v>47</v>
      </c>
    </row>
    <row r="17" spans="2:6" x14ac:dyDescent="0.3">
      <c r="B17" s="2">
        <v>1</v>
      </c>
      <c r="C17" s="9" t="s">
        <v>27</v>
      </c>
      <c r="D17" s="2" t="s">
        <v>28</v>
      </c>
      <c r="E17" s="4">
        <v>1</v>
      </c>
    </row>
    <row r="18" spans="2:6" x14ac:dyDescent="0.3">
      <c r="B18" s="2">
        <v>2</v>
      </c>
      <c r="C18" s="9" t="s">
        <v>29</v>
      </c>
      <c r="D18" s="2" t="s">
        <v>7</v>
      </c>
      <c r="E18" s="6">
        <v>0.55962118788516757</v>
      </c>
    </row>
    <row r="19" spans="2:6" x14ac:dyDescent="0.3">
      <c r="B19" s="2">
        <v>3</v>
      </c>
      <c r="C19" s="9" t="s">
        <v>30</v>
      </c>
      <c r="D19" s="2" t="s">
        <v>26</v>
      </c>
      <c r="E19" s="4">
        <f>E17*E18*24*365*1000/10^7</f>
        <v>0.49022816058740681</v>
      </c>
    </row>
    <row r="20" spans="2:6" x14ac:dyDescent="0.3">
      <c r="B20" s="2">
        <v>4</v>
      </c>
      <c r="C20" s="9" t="s">
        <v>31</v>
      </c>
      <c r="D20" s="2" t="s">
        <v>7</v>
      </c>
      <c r="E20" s="3">
        <f>E6</f>
        <v>2.8000000000000001E-2</v>
      </c>
    </row>
    <row r="21" spans="2:6" x14ac:dyDescent="0.3">
      <c r="B21" s="2">
        <v>5</v>
      </c>
      <c r="C21" s="9" t="s">
        <v>32</v>
      </c>
      <c r="D21" s="2" t="s">
        <v>7</v>
      </c>
      <c r="E21" s="6">
        <f>E8</f>
        <v>2.98E-2</v>
      </c>
    </row>
    <row r="22" spans="2:6" x14ac:dyDescent="0.3">
      <c r="B22" s="10">
        <v>6</v>
      </c>
      <c r="C22" s="11" t="s">
        <v>33</v>
      </c>
      <c r="D22" s="10" t="s">
        <v>26</v>
      </c>
      <c r="E22" s="13">
        <f>E19*(1-E20)*(1-E21)</f>
        <v>0.4623020192826488</v>
      </c>
    </row>
    <row r="23" spans="2:6" x14ac:dyDescent="0.3">
      <c r="B23" s="2">
        <v>7</v>
      </c>
      <c r="C23" s="9" t="s">
        <v>45</v>
      </c>
      <c r="D23" s="2" t="s">
        <v>7</v>
      </c>
      <c r="E23" s="3">
        <v>1.2227391047519704E-2</v>
      </c>
    </row>
    <row r="24" spans="2:6" x14ac:dyDescent="0.3">
      <c r="B24" s="2">
        <v>8</v>
      </c>
      <c r="C24" s="9" t="s">
        <v>44</v>
      </c>
      <c r="D24" s="2" t="s">
        <v>7</v>
      </c>
      <c r="E24" s="3">
        <v>0</v>
      </c>
    </row>
    <row r="25" spans="2:6" x14ac:dyDescent="0.3">
      <c r="B25" s="14">
        <v>9</v>
      </c>
      <c r="C25" s="15" t="s">
        <v>34</v>
      </c>
      <c r="D25" s="14" t="s">
        <v>26</v>
      </c>
      <c r="E25" s="16">
        <f>E22*(1-E23)*(1-E24)</f>
        <v>0.45664927171082187</v>
      </c>
    </row>
    <row r="26" spans="2:6" x14ac:dyDescent="0.3">
      <c r="B26" s="2">
        <v>10</v>
      </c>
      <c r="C26" s="9" t="s">
        <v>35</v>
      </c>
      <c r="D26" s="2" t="s">
        <v>36</v>
      </c>
      <c r="E26" s="4">
        <v>3.5</v>
      </c>
    </row>
    <row r="27" spans="2:6" x14ac:dyDescent="0.3">
      <c r="B27" s="2">
        <v>11</v>
      </c>
      <c r="C27" s="9" t="s">
        <v>37</v>
      </c>
      <c r="D27" s="2" t="s">
        <v>36</v>
      </c>
      <c r="E27" s="4">
        <v>0.4</v>
      </c>
    </row>
    <row r="28" spans="2:6" x14ac:dyDescent="0.3">
      <c r="B28" s="2">
        <v>12</v>
      </c>
      <c r="C28" s="9" t="s">
        <v>38</v>
      </c>
      <c r="D28" s="2" t="s">
        <v>36</v>
      </c>
      <c r="E28" s="4">
        <f>E7</f>
        <v>0.47</v>
      </c>
      <c r="F28" s="27"/>
    </row>
    <row r="29" spans="2:6" x14ac:dyDescent="0.3">
      <c r="B29" s="2">
        <v>13</v>
      </c>
      <c r="C29" s="9" t="s">
        <v>39</v>
      </c>
      <c r="D29" s="2" t="s">
        <v>36</v>
      </c>
      <c r="E29" s="4">
        <v>0</v>
      </c>
    </row>
    <row r="30" spans="2:6" x14ac:dyDescent="0.3">
      <c r="B30" s="2">
        <v>14</v>
      </c>
      <c r="C30" s="9" t="s">
        <v>16</v>
      </c>
      <c r="D30" s="2" t="s">
        <v>36</v>
      </c>
      <c r="E30" s="4">
        <v>0</v>
      </c>
    </row>
    <row r="31" spans="2:6" x14ac:dyDescent="0.3">
      <c r="B31" s="2">
        <v>15</v>
      </c>
      <c r="C31" s="9" t="s">
        <v>17</v>
      </c>
      <c r="D31" s="2" t="s">
        <v>36</v>
      </c>
      <c r="E31" s="4">
        <f>E12</f>
        <v>0.06</v>
      </c>
    </row>
    <row r="32" spans="2:6" x14ac:dyDescent="0.3">
      <c r="B32" s="10">
        <v>16</v>
      </c>
      <c r="C32" s="11" t="s">
        <v>41</v>
      </c>
      <c r="D32" s="10" t="s">
        <v>36</v>
      </c>
      <c r="E32" s="12">
        <f>SUM(E26:E31)</f>
        <v>4.43</v>
      </c>
    </row>
    <row r="33" spans="2:5" x14ac:dyDescent="0.3">
      <c r="B33" s="17">
        <v>17</v>
      </c>
      <c r="C33" s="18" t="s">
        <v>42</v>
      </c>
      <c r="D33" s="17" t="s">
        <v>36</v>
      </c>
      <c r="E33" s="19">
        <f>E32*E19/E25</f>
        <v>4.7557521405124925</v>
      </c>
    </row>
  </sheetData>
  <hyperlinks>
    <hyperlink ref="F7" r:id="rId1" xr:uid="{1D9DB9C5-68D3-4829-8247-F37AD1CE5F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12B7-2D0C-414C-8747-7850E4986D17}">
  <dimension ref="B1:N37"/>
  <sheetViews>
    <sheetView topLeftCell="A6" workbookViewId="0">
      <selection activeCell="F37" sqref="F37"/>
    </sheetView>
  </sheetViews>
  <sheetFormatPr defaultRowHeight="14.4" x14ac:dyDescent="0.3"/>
  <cols>
    <col min="3" max="3" width="36.77734375" bestFit="1" customWidth="1"/>
    <col min="4" max="4" width="14.33203125" bestFit="1" customWidth="1"/>
    <col min="5" max="5" width="12.5546875" bestFit="1" customWidth="1"/>
    <col min="6" max="6" width="11.5546875" bestFit="1" customWidth="1"/>
    <col min="7" max="7" width="10.5546875" bestFit="1" customWidth="1"/>
    <col min="8" max="8" width="8.21875" bestFit="1" customWidth="1"/>
    <col min="9" max="9" width="19.44140625" bestFit="1" customWidth="1"/>
    <col min="10" max="10" width="13.77734375" customWidth="1"/>
    <col min="11" max="11" width="17.88671875" bestFit="1" customWidth="1"/>
    <col min="12" max="12" width="13.6640625" bestFit="1" customWidth="1"/>
    <col min="13" max="13" width="16.21875" bestFit="1" customWidth="1"/>
  </cols>
  <sheetData>
    <row r="1" spans="2:14" x14ac:dyDescent="0.3">
      <c r="B1" t="s">
        <v>139</v>
      </c>
      <c r="H1" t="s">
        <v>138</v>
      </c>
    </row>
    <row r="2" spans="2:14" x14ac:dyDescent="0.3">
      <c r="B2" s="1" t="s">
        <v>0</v>
      </c>
      <c r="C2" s="1" t="s">
        <v>1</v>
      </c>
      <c r="D2" s="1" t="s">
        <v>2</v>
      </c>
      <c r="E2" s="1" t="s">
        <v>3</v>
      </c>
      <c r="H2" s="33"/>
      <c r="I2" s="33" t="s">
        <v>63</v>
      </c>
      <c r="J2" s="33" t="s">
        <v>88</v>
      </c>
      <c r="K2" s="33" t="s">
        <v>78</v>
      </c>
      <c r="L2" s="33" t="s">
        <v>17</v>
      </c>
      <c r="M2" s="33" t="s">
        <v>80</v>
      </c>
    </row>
    <row r="3" spans="2:14" ht="43.2" x14ac:dyDescent="0.3">
      <c r="B3" s="2">
        <v>1</v>
      </c>
      <c r="C3" s="2" t="s">
        <v>4</v>
      </c>
      <c r="D3" s="2" t="s">
        <v>5</v>
      </c>
      <c r="E3" s="2">
        <v>608</v>
      </c>
      <c r="H3" s="8" t="s">
        <v>81</v>
      </c>
      <c r="I3" s="34" t="s">
        <v>89</v>
      </c>
      <c r="J3" s="34" t="s">
        <v>90</v>
      </c>
      <c r="K3" s="8">
        <f>K5*(1+25%)</f>
        <v>9.375</v>
      </c>
      <c r="L3" s="8">
        <v>0.4</v>
      </c>
      <c r="M3" s="8">
        <f>SUM(K3:L3)</f>
        <v>9.7750000000000004</v>
      </c>
      <c r="N3">
        <v>8</v>
      </c>
    </row>
    <row r="4" spans="2:14" ht="28.8" x14ac:dyDescent="0.3">
      <c r="B4" s="2">
        <v>2</v>
      </c>
      <c r="C4" s="2" t="s">
        <v>8</v>
      </c>
      <c r="D4" s="2" t="s">
        <v>49</v>
      </c>
      <c r="E4" s="4">
        <v>5.8034699999999999</v>
      </c>
      <c r="F4" s="20">
        <v>0.5</v>
      </c>
      <c r="G4" t="s">
        <v>51</v>
      </c>
      <c r="H4" s="8" t="s">
        <v>83</v>
      </c>
      <c r="I4" s="8" t="s">
        <v>91</v>
      </c>
      <c r="J4" s="34" t="s">
        <v>92</v>
      </c>
      <c r="K4" s="8">
        <v>7.125</v>
      </c>
      <c r="L4" s="8">
        <v>0.4</v>
      </c>
      <c r="M4" s="8">
        <f t="shared" ref="M4:M5" si="0">SUM(K4:L4)</f>
        <v>7.5250000000000004</v>
      </c>
      <c r="N4">
        <v>7</v>
      </c>
    </row>
    <row r="5" spans="2:14" ht="43.2" x14ac:dyDescent="0.3">
      <c r="B5" s="2">
        <v>3</v>
      </c>
      <c r="C5" s="2" t="s">
        <v>10</v>
      </c>
      <c r="D5" s="2" t="s">
        <v>50</v>
      </c>
      <c r="E5" s="4">
        <v>0.24181</v>
      </c>
      <c r="F5" s="20">
        <v>0.5</v>
      </c>
      <c r="G5" t="s">
        <v>51</v>
      </c>
      <c r="H5" s="8" t="s">
        <v>85</v>
      </c>
      <c r="I5" s="34" t="s">
        <v>93</v>
      </c>
      <c r="J5" s="8" t="s">
        <v>94</v>
      </c>
      <c r="K5" s="8">
        <v>7.5</v>
      </c>
      <c r="L5" s="8">
        <v>0.4</v>
      </c>
      <c r="M5" s="8">
        <f t="shared" si="0"/>
        <v>7.9</v>
      </c>
      <c r="N5">
        <v>9</v>
      </c>
    </row>
    <row r="6" spans="2:14" x14ac:dyDescent="0.3">
      <c r="B6" s="2">
        <v>4</v>
      </c>
      <c r="C6" s="2" t="s">
        <v>12</v>
      </c>
      <c r="D6" s="2" t="s">
        <v>7</v>
      </c>
      <c r="E6" s="5">
        <v>3.8100000000000002E-2</v>
      </c>
    </row>
    <row r="7" spans="2:14" x14ac:dyDescent="0.3">
      <c r="B7" s="2">
        <v>5</v>
      </c>
      <c r="C7" s="2" t="s">
        <v>13</v>
      </c>
      <c r="D7" s="2" t="s">
        <v>6</v>
      </c>
      <c r="E7" s="2">
        <v>1.04</v>
      </c>
    </row>
    <row r="8" spans="2:14" x14ac:dyDescent="0.3">
      <c r="B8" s="2">
        <v>6</v>
      </c>
      <c r="C8" s="2" t="s">
        <v>14</v>
      </c>
      <c r="D8" s="2" t="s">
        <v>7</v>
      </c>
      <c r="E8" s="5">
        <v>5.3499999999999999E-2</v>
      </c>
    </row>
    <row r="9" spans="2:14" x14ac:dyDescent="0.3">
      <c r="B9" s="2">
        <v>7</v>
      </c>
      <c r="C9" s="2" t="s">
        <v>15</v>
      </c>
      <c r="D9" s="2" t="s">
        <v>6</v>
      </c>
      <c r="E9" s="2">
        <v>1.99</v>
      </c>
    </row>
    <row r="10" spans="2:14" x14ac:dyDescent="0.3">
      <c r="B10" s="2">
        <v>8</v>
      </c>
      <c r="C10" s="2" t="s">
        <v>16</v>
      </c>
      <c r="D10" s="2" t="s">
        <v>6</v>
      </c>
      <c r="E10" s="2">
        <v>0.93</v>
      </c>
    </row>
    <row r="11" spans="2:14" x14ac:dyDescent="0.3">
      <c r="B11" s="2">
        <v>9</v>
      </c>
      <c r="C11" s="2" t="s">
        <v>17</v>
      </c>
      <c r="D11" s="2" t="s">
        <v>6</v>
      </c>
      <c r="E11" s="2">
        <v>0.4</v>
      </c>
    </row>
    <row r="12" spans="2:14" x14ac:dyDescent="0.3">
      <c r="B12" s="2">
        <v>10</v>
      </c>
      <c r="C12" s="2" t="s">
        <v>18</v>
      </c>
      <c r="D12" s="2" t="s">
        <v>6</v>
      </c>
      <c r="E12" s="2">
        <v>0.1</v>
      </c>
    </row>
    <row r="13" spans="2:14" x14ac:dyDescent="0.3">
      <c r="B13" s="2">
        <v>11</v>
      </c>
      <c r="C13" s="2" t="s">
        <v>19</v>
      </c>
      <c r="D13" s="2" t="s">
        <v>7</v>
      </c>
      <c r="E13" s="6">
        <v>0.08</v>
      </c>
    </row>
    <row r="14" spans="2:14" x14ac:dyDescent="0.3">
      <c r="B14" s="2">
        <v>12</v>
      </c>
      <c r="C14" s="2" t="s">
        <v>52</v>
      </c>
      <c r="D14" s="2" t="s">
        <v>54</v>
      </c>
      <c r="E14" s="7">
        <v>209</v>
      </c>
    </row>
    <row r="15" spans="2:14" x14ac:dyDescent="0.3">
      <c r="B15" s="2">
        <v>13</v>
      </c>
      <c r="C15" s="2" t="s">
        <v>53</v>
      </c>
      <c r="D15" s="2" t="s">
        <v>55</v>
      </c>
      <c r="E15" s="7">
        <v>96.16</v>
      </c>
    </row>
    <row r="17" spans="2:6" x14ac:dyDescent="0.3">
      <c r="B17" t="s">
        <v>56</v>
      </c>
      <c r="E17" s="60" t="s">
        <v>43</v>
      </c>
      <c r="F17" s="60"/>
    </row>
    <row r="18" spans="2:6" x14ac:dyDescent="0.3">
      <c r="B18" s="1" t="s">
        <v>23</v>
      </c>
      <c r="C18" s="1" t="s">
        <v>24</v>
      </c>
      <c r="D18" s="1" t="s">
        <v>25</v>
      </c>
      <c r="E18" s="1" t="s">
        <v>48</v>
      </c>
      <c r="F18" s="1" t="s">
        <v>46</v>
      </c>
    </row>
    <row r="19" spans="2:6" x14ac:dyDescent="0.3">
      <c r="B19" s="21">
        <v>1</v>
      </c>
      <c r="C19" s="9" t="s">
        <v>27</v>
      </c>
      <c r="D19" s="2" t="s">
        <v>28</v>
      </c>
      <c r="E19" s="4">
        <v>22</v>
      </c>
      <c r="F19" s="4">
        <v>11</v>
      </c>
    </row>
    <row r="20" spans="2:6" x14ac:dyDescent="0.3">
      <c r="B20" s="22">
        <v>2</v>
      </c>
      <c r="C20" s="9" t="s">
        <v>29</v>
      </c>
      <c r="D20" s="2" t="s">
        <v>7</v>
      </c>
      <c r="E20" s="6">
        <v>0.25953743093587045</v>
      </c>
      <c r="F20" s="6">
        <v>0.35955091302212239</v>
      </c>
    </row>
    <row r="21" spans="2:6" x14ac:dyDescent="0.3">
      <c r="B21" s="22">
        <v>3</v>
      </c>
      <c r="C21" s="9" t="s">
        <v>30</v>
      </c>
      <c r="D21" s="2" t="s">
        <v>26</v>
      </c>
      <c r="E21" s="4">
        <f>E19*E20*24*365*1000/10^7</f>
        <v>5.0018053689960951</v>
      </c>
      <c r="F21" s="4">
        <f>F19*F20*24*365*1000/10^7</f>
        <v>3.4646325978811712</v>
      </c>
    </row>
    <row r="22" spans="2:6" x14ac:dyDescent="0.3">
      <c r="B22" s="22">
        <v>4</v>
      </c>
      <c r="C22" s="9" t="s">
        <v>31</v>
      </c>
      <c r="D22" s="2" t="s">
        <v>7</v>
      </c>
      <c r="E22" s="3">
        <f>E6</f>
        <v>3.8100000000000002E-2</v>
      </c>
      <c r="F22" s="3">
        <f>E6</f>
        <v>3.8100000000000002E-2</v>
      </c>
    </row>
    <row r="23" spans="2:6" x14ac:dyDescent="0.3">
      <c r="B23" s="22">
        <v>5</v>
      </c>
      <c r="C23" s="9" t="s">
        <v>32</v>
      </c>
      <c r="D23" s="2" t="s">
        <v>7</v>
      </c>
      <c r="E23" s="6">
        <f>E8</f>
        <v>5.3499999999999999E-2</v>
      </c>
      <c r="F23" s="6">
        <f>E8</f>
        <v>5.3499999999999999E-2</v>
      </c>
    </row>
    <row r="24" spans="2:6" x14ac:dyDescent="0.3">
      <c r="B24" s="23">
        <v>6</v>
      </c>
      <c r="C24" s="11" t="s">
        <v>33</v>
      </c>
      <c r="D24" s="10" t="s">
        <v>26</v>
      </c>
      <c r="E24" s="13">
        <f>E21*(1-E22)*(1-E23)</f>
        <v>4.5538354271699459</v>
      </c>
      <c r="F24" s="13">
        <f>F21*(1-F22)*(1-F23)</f>
        <v>3.154334385771147</v>
      </c>
    </row>
    <row r="25" spans="2:6" x14ac:dyDescent="0.3">
      <c r="B25" s="22">
        <v>7</v>
      </c>
      <c r="C25" s="9" t="s">
        <v>45</v>
      </c>
      <c r="D25" s="2" t="s">
        <v>7</v>
      </c>
      <c r="E25" s="3">
        <v>2.4214500797161018E-2</v>
      </c>
      <c r="F25" s="3">
        <v>2.4214500797161018E-2</v>
      </c>
    </row>
    <row r="26" spans="2:6" x14ac:dyDescent="0.3">
      <c r="B26" s="22">
        <v>8</v>
      </c>
      <c r="C26" s="9" t="s">
        <v>44</v>
      </c>
      <c r="D26" s="2" t="s">
        <v>7</v>
      </c>
      <c r="E26" s="3">
        <v>0</v>
      </c>
      <c r="F26" s="3">
        <v>0</v>
      </c>
    </row>
    <row r="27" spans="2:6" x14ac:dyDescent="0.3">
      <c r="B27" s="24">
        <v>9</v>
      </c>
      <c r="C27" s="15" t="s">
        <v>34</v>
      </c>
      <c r="D27" s="14" t="s">
        <v>26</v>
      </c>
      <c r="E27" s="16">
        <f>E24*(1-E25)*(1-E26)</f>
        <v>4.4435665755885996</v>
      </c>
      <c r="F27" s="16">
        <f>F24*(1-F25)*(1-F26)</f>
        <v>3.0779537532723791</v>
      </c>
    </row>
    <row r="28" spans="2:6" x14ac:dyDescent="0.3">
      <c r="B28" s="22">
        <v>10</v>
      </c>
      <c r="C28" s="9" t="s">
        <v>35</v>
      </c>
      <c r="D28" s="2" t="s">
        <v>36</v>
      </c>
      <c r="E28" s="4">
        <v>3.5</v>
      </c>
      <c r="F28" s="4">
        <v>3.38</v>
      </c>
    </row>
    <row r="29" spans="2:6" x14ac:dyDescent="0.3">
      <c r="B29" s="22">
        <v>11</v>
      </c>
      <c r="C29" s="9" t="s">
        <v>37</v>
      </c>
      <c r="D29" s="2" t="s">
        <v>36</v>
      </c>
      <c r="E29" s="4">
        <f>E4*F4*E19*1000*365/(E21*10^7)</f>
        <v>0.46585043461370623</v>
      </c>
      <c r="F29" s="4">
        <f>E4*F4*F19*1000*365/(F21*10^7)</f>
        <v>0.33626844104985198</v>
      </c>
    </row>
    <row r="30" spans="2:6" x14ac:dyDescent="0.3">
      <c r="B30" s="22">
        <v>12</v>
      </c>
      <c r="C30" s="9" t="s">
        <v>38</v>
      </c>
      <c r="D30" s="2" t="s">
        <v>36</v>
      </c>
      <c r="E30" s="4">
        <f>E7</f>
        <v>1.04</v>
      </c>
      <c r="F30" s="4">
        <f>F7</f>
        <v>0</v>
      </c>
    </row>
    <row r="31" spans="2:6" x14ac:dyDescent="0.3">
      <c r="B31" s="22">
        <v>13</v>
      </c>
      <c r="C31" s="9" t="s">
        <v>39</v>
      </c>
      <c r="D31" s="2" t="s">
        <v>36</v>
      </c>
      <c r="E31" s="4">
        <v>0</v>
      </c>
      <c r="F31" s="4">
        <v>0</v>
      </c>
    </row>
    <row r="32" spans="2:6" x14ac:dyDescent="0.3">
      <c r="B32" s="22">
        <v>14</v>
      </c>
      <c r="C32" s="9" t="s">
        <v>16</v>
      </c>
      <c r="D32" s="2" t="s">
        <v>36</v>
      </c>
      <c r="E32" s="4">
        <v>0</v>
      </c>
      <c r="F32" s="4">
        <v>0</v>
      </c>
    </row>
    <row r="33" spans="2:6" x14ac:dyDescent="0.3">
      <c r="B33" s="22">
        <v>15</v>
      </c>
      <c r="C33" s="9" t="s">
        <v>17</v>
      </c>
      <c r="D33" s="2" t="s">
        <v>36</v>
      </c>
      <c r="E33" s="4">
        <f>E12</f>
        <v>0.1</v>
      </c>
      <c r="F33" s="4">
        <f>E12</f>
        <v>0.1</v>
      </c>
    </row>
    <row r="34" spans="2:6" x14ac:dyDescent="0.3">
      <c r="B34" s="22">
        <v>16</v>
      </c>
      <c r="C34" s="9" t="s">
        <v>52</v>
      </c>
      <c r="D34" s="2" t="s">
        <v>36</v>
      </c>
      <c r="E34" s="4">
        <f>E14*365/(E21*10^7)</f>
        <v>1.5251493085447875E-3</v>
      </c>
      <c r="F34" s="4">
        <f>E14*365/(F21*10^7)</f>
        <v>2.2018207658339533E-3</v>
      </c>
    </row>
    <row r="35" spans="2:6" x14ac:dyDescent="0.3">
      <c r="B35" s="22">
        <v>17</v>
      </c>
      <c r="C35" s="9" t="s">
        <v>53</v>
      </c>
      <c r="D35" s="2" t="s">
        <v>36</v>
      </c>
      <c r="E35" s="12">
        <f>E15*E19*365/(E21*10^7)</f>
        <v>1.543772184312282E-2</v>
      </c>
      <c r="F35" s="12">
        <f>E15*F19*365/(F21*10^7)</f>
        <v>1.1143530781189103E-2</v>
      </c>
    </row>
    <row r="36" spans="2:6" x14ac:dyDescent="0.3">
      <c r="B36" s="22">
        <v>18</v>
      </c>
      <c r="C36" s="11" t="s">
        <v>41</v>
      </c>
      <c r="D36" s="10" t="s">
        <v>36</v>
      </c>
      <c r="E36" s="12">
        <f>SUM(E28:E35)</f>
        <v>5.1228133057653737</v>
      </c>
      <c r="F36" s="12">
        <f>SUM(F28:F35)</f>
        <v>3.829613792596875</v>
      </c>
    </row>
    <row r="37" spans="2:6" x14ac:dyDescent="0.3">
      <c r="B37" s="25">
        <v>19</v>
      </c>
      <c r="C37" s="18" t="s">
        <v>42</v>
      </c>
      <c r="D37" s="17" t="s">
        <v>36</v>
      </c>
      <c r="E37" s="19">
        <f>E36*E21/E27</f>
        <v>5.7663848760379581</v>
      </c>
      <c r="F37" s="19">
        <f>F36*F21/F27</f>
        <v>4.3107225925731196</v>
      </c>
    </row>
  </sheetData>
  <mergeCells count="1">
    <mergeCell ref="E17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EFB6-9CE7-47F0-BFAA-3026CBE77322}">
  <dimension ref="B1:F33"/>
  <sheetViews>
    <sheetView tabSelected="1" topLeftCell="A6" workbookViewId="0">
      <selection activeCell="F33" sqref="F33"/>
    </sheetView>
  </sheetViews>
  <sheetFormatPr defaultRowHeight="14.4" x14ac:dyDescent="0.3"/>
  <cols>
    <col min="3" max="3" width="36.77734375" bestFit="1" customWidth="1"/>
    <col min="4" max="4" width="14.33203125" bestFit="1" customWidth="1"/>
    <col min="5" max="5" width="12.5546875" bestFit="1" customWidth="1"/>
    <col min="6" max="6" width="10.5546875" bestFit="1" customWidth="1"/>
    <col min="7" max="7" width="12.44140625" bestFit="1" customWidth="1"/>
    <col min="8" max="8" width="9" bestFit="1" customWidth="1"/>
    <col min="9" max="9" width="14.88671875" bestFit="1" customWidth="1"/>
    <col min="10" max="10" width="12.5546875" bestFit="1" customWidth="1"/>
    <col min="11" max="11" width="8.77734375" bestFit="1" customWidth="1"/>
    <col min="12" max="12" width="7" bestFit="1" customWidth="1"/>
  </cols>
  <sheetData>
    <row r="1" spans="2:6" x14ac:dyDescent="0.3">
      <c r="B1" t="s">
        <v>61</v>
      </c>
    </row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6" x14ac:dyDescent="0.3">
      <c r="B3" s="2">
        <v>1</v>
      </c>
      <c r="C3" s="2" t="s">
        <v>4</v>
      </c>
      <c r="D3" s="2" t="s">
        <v>5</v>
      </c>
      <c r="E3" s="2">
        <v>600</v>
      </c>
    </row>
    <row r="4" spans="2:6" x14ac:dyDescent="0.3">
      <c r="B4" s="2">
        <v>2</v>
      </c>
      <c r="C4" s="2" t="s">
        <v>8</v>
      </c>
      <c r="D4" s="2" t="s">
        <v>57</v>
      </c>
      <c r="E4" s="4">
        <v>1.04</v>
      </c>
    </row>
    <row r="5" spans="2:6" x14ac:dyDescent="0.3">
      <c r="B5" s="2">
        <v>3</v>
      </c>
      <c r="C5" s="2" t="s">
        <v>12</v>
      </c>
      <c r="D5" s="2" t="s">
        <v>7</v>
      </c>
      <c r="E5" s="5">
        <v>3.2800000000000003E-2</v>
      </c>
    </row>
    <row r="6" spans="2:6" x14ac:dyDescent="0.3">
      <c r="B6" s="2">
        <v>4</v>
      </c>
      <c r="C6" s="2" t="s">
        <v>13</v>
      </c>
      <c r="D6" s="2" t="s">
        <v>6</v>
      </c>
      <c r="E6" s="8">
        <v>0.62</v>
      </c>
    </row>
    <row r="7" spans="2:6" x14ac:dyDescent="0.3">
      <c r="B7" s="2">
        <v>5</v>
      </c>
      <c r="C7" s="2" t="s">
        <v>14</v>
      </c>
      <c r="D7" s="2" t="s">
        <v>7</v>
      </c>
      <c r="E7" s="56">
        <v>7.4999999999999997E-2</v>
      </c>
    </row>
    <row r="8" spans="2:6" x14ac:dyDescent="0.3">
      <c r="B8" s="2">
        <v>6</v>
      </c>
      <c r="C8" s="2" t="s">
        <v>15</v>
      </c>
      <c r="D8" s="2" t="s">
        <v>6</v>
      </c>
      <c r="E8" s="2">
        <v>1.82</v>
      </c>
    </row>
    <row r="9" spans="2:6" x14ac:dyDescent="0.3">
      <c r="B9" s="2">
        <v>7</v>
      </c>
      <c r="C9" s="2" t="s">
        <v>16</v>
      </c>
      <c r="D9" s="2" t="s">
        <v>6</v>
      </c>
      <c r="E9" s="2">
        <v>0</v>
      </c>
    </row>
    <row r="10" spans="2:6" x14ac:dyDescent="0.3">
      <c r="B10" s="2">
        <v>8</v>
      </c>
      <c r="C10" s="2" t="s">
        <v>17</v>
      </c>
      <c r="D10" s="2" t="s">
        <v>6</v>
      </c>
      <c r="E10" s="2">
        <v>0.65</v>
      </c>
    </row>
    <row r="11" spans="2:6" x14ac:dyDescent="0.3">
      <c r="B11" s="2">
        <v>9</v>
      </c>
      <c r="C11" s="2" t="s">
        <v>18</v>
      </c>
      <c r="D11" s="2" t="s">
        <v>6</v>
      </c>
      <c r="E11" s="2">
        <v>0</v>
      </c>
    </row>
    <row r="12" spans="2:6" x14ac:dyDescent="0.3">
      <c r="B12" s="2">
        <v>10</v>
      </c>
      <c r="C12" s="2" t="s">
        <v>19</v>
      </c>
      <c r="D12" s="2" t="s">
        <v>7</v>
      </c>
      <c r="E12" s="6">
        <v>0.08</v>
      </c>
    </row>
    <row r="13" spans="2:6" x14ac:dyDescent="0.3">
      <c r="B13" s="2">
        <v>11</v>
      </c>
      <c r="C13" s="2" t="s">
        <v>58</v>
      </c>
      <c r="D13" s="2" t="s">
        <v>59</v>
      </c>
      <c r="E13" s="26">
        <v>29830</v>
      </c>
    </row>
    <row r="15" spans="2:6" x14ac:dyDescent="0.3">
      <c r="B15" t="s">
        <v>22</v>
      </c>
      <c r="E15" t="s">
        <v>43</v>
      </c>
    </row>
    <row r="16" spans="2:6" ht="43.2" x14ac:dyDescent="0.3">
      <c r="B16" s="1" t="s">
        <v>23</v>
      </c>
      <c r="C16" s="1" t="s">
        <v>24</v>
      </c>
      <c r="D16" s="1" t="s">
        <v>25</v>
      </c>
      <c r="E16" s="58" t="s">
        <v>153</v>
      </c>
      <c r="F16" s="58" t="s">
        <v>154</v>
      </c>
    </row>
    <row r="17" spans="2:6" x14ac:dyDescent="0.3">
      <c r="B17" s="21">
        <v>1</v>
      </c>
      <c r="C17" s="9" t="s">
        <v>27</v>
      </c>
      <c r="D17" s="2" t="s">
        <v>28</v>
      </c>
      <c r="E17" s="4">
        <v>4</v>
      </c>
      <c r="F17" s="4">
        <v>4</v>
      </c>
    </row>
    <row r="18" spans="2:6" x14ac:dyDescent="0.3">
      <c r="B18" s="22">
        <v>2</v>
      </c>
      <c r="C18" s="9" t="s">
        <v>29</v>
      </c>
      <c r="D18" s="2" t="s">
        <v>7</v>
      </c>
      <c r="E18" s="6">
        <v>0.25953743093587045</v>
      </c>
      <c r="F18" s="6">
        <v>0.25953743093587045</v>
      </c>
    </row>
    <row r="19" spans="2:6" x14ac:dyDescent="0.3">
      <c r="B19" s="22">
        <v>3</v>
      </c>
      <c r="C19" s="9" t="s">
        <v>30</v>
      </c>
      <c r="D19" s="2" t="s">
        <v>26</v>
      </c>
      <c r="E19" s="4">
        <f>E17*E18*24*365*1000/10^7</f>
        <v>0.90941915799929018</v>
      </c>
      <c r="F19" s="4">
        <f>F17*F18*24*365*1000/10^7</f>
        <v>0.90941915799929018</v>
      </c>
    </row>
    <row r="20" spans="2:6" x14ac:dyDescent="0.3">
      <c r="B20" s="22">
        <v>4</v>
      </c>
      <c r="C20" s="9" t="s">
        <v>31</v>
      </c>
      <c r="D20" s="2" t="s">
        <v>7</v>
      </c>
      <c r="E20" s="3">
        <f>E5</f>
        <v>3.2800000000000003E-2</v>
      </c>
      <c r="F20" s="3">
        <f>E5</f>
        <v>3.2800000000000003E-2</v>
      </c>
    </row>
    <row r="21" spans="2:6" x14ac:dyDescent="0.3">
      <c r="B21" s="22">
        <v>5</v>
      </c>
      <c r="C21" s="9" t="s">
        <v>32</v>
      </c>
      <c r="D21" s="2" t="s">
        <v>7</v>
      </c>
      <c r="E21" s="3">
        <f>E7</f>
        <v>7.4999999999999997E-2</v>
      </c>
      <c r="F21" s="3">
        <v>0</v>
      </c>
    </row>
    <row r="22" spans="2:6" x14ac:dyDescent="0.3">
      <c r="B22" s="23">
        <v>6</v>
      </c>
      <c r="C22" s="11" t="s">
        <v>33</v>
      </c>
      <c r="D22" s="10" t="s">
        <v>26</v>
      </c>
      <c r="E22" s="13">
        <f>E19*(1-E20)*(1-E21)</f>
        <v>0.81362094389564488</v>
      </c>
      <c r="F22" s="13">
        <f>F19*(1-F20)*(1-F21)</f>
        <v>0.87959020961691337</v>
      </c>
    </row>
    <row r="23" spans="2:6" x14ac:dyDescent="0.3">
      <c r="B23" s="22">
        <v>7</v>
      </c>
      <c r="C23" s="9" t="s">
        <v>45</v>
      </c>
      <c r="D23" s="2" t="s">
        <v>7</v>
      </c>
      <c r="E23" s="3">
        <f>30%*8%</f>
        <v>2.4E-2</v>
      </c>
      <c r="F23" s="3">
        <f>30%*8%</f>
        <v>2.4E-2</v>
      </c>
    </row>
    <row r="24" spans="2:6" x14ac:dyDescent="0.3">
      <c r="B24" s="24">
        <v>8</v>
      </c>
      <c r="C24" s="15" t="s">
        <v>34</v>
      </c>
      <c r="D24" s="14" t="s">
        <v>26</v>
      </c>
      <c r="E24" s="16">
        <f>E22*(1-E23)</f>
        <v>0.79409404124214933</v>
      </c>
      <c r="F24" s="16">
        <f>F22*(1-F23)</f>
        <v>0.85848004458610738</v>
      </c>
    </row>
    <row r="25" spans="2:6" x14ac:dyDescent="0.3">
      <c r="B25" s="22">
        <v>9</v>
      </c>
      <c r="C25" s="9" t="s">
        <v>35</v>
      </c>
      <c r="D25" s="2" t="s">
        <v>36</v>
      </c>
      <c r="E25" s="4">
        <v>3.5</v>
      </c>
      <c r="F25" s="4">
        <v>3.5</v>
      </c>
    </row>
    <row r="26" spans="2:6" x14ac:dyDescent="0.3">
      <c r="B26" s="22">
        <v>10</v>
      </c>
      <c r="C26" s="9" t="s">
        <v>37</v>
      </c>
      <c r="D26" s="2" t="s">
        <v>36</v>
      </c>
      <c r="E26" s="4">
        <f>$E$4</f>
        <v>1.04</v>
      </c>
      <c r="F26" s="4">
        <f>$E$4</f>
        <v>1.04</v>
      </c>
    </row>
    <row r="27" spans="2:6" x14ac:dyDescent="0.3">
      <c r="B27" s="22">
        <v>11</v>
      </c>
      <c r="C27" s="9" t="s">
        <v>38</v>
      </c>
      <c r="D27" s="2" t="s">
        <v>36</v>
      </c>
      <c r="E27" s="4">
        <f>E6</f>
        <v>0.62</v>
      </c>
      <c r="F27" s="4">
        <v>0</v>
      </c>
    </row>
    <row r="28" spans="2:6" x14ac:dyDescent="0.3">
      <c r="B28" s="22">
        <v>12</v>
      </c>
      <c r="C28" s="9" t="s">
        <v>39</v>
      </c>
      <c r="D28" s="2" t="s">
        <v>36</v>
      </c>
      <c r="E28" s="4">
        <v>0</v>
      </c>
      <c r="F28" s="4">
        <v>0</v>
      </c>
    </row>
    <row r="29" spans="2:6" ht="12.6" customHeight="1" x14ac:dyDescent="0.3">
      <c r="B29" s="22">
        <v>13</v>
      </c>
      <c r="C29" s="9" t="s">
        <v>16</v>
      </c>
      <c r="D29" s="2" t="s">
        <v>36</v>
      </c>
      <c r="E29" s="4">
        <v>0</v>
      </c>
      <c r="F29" s="4">
        <v>0</v>
      </c>
    </row>
    <row r="30" spans="2:6" x14ac:dyDescent="0.3">
      <c r="B30" s="22">
        <v>14</v>
      </c>
      <c r="C30" s="9" t="s">
        <v>17</v>
      </c>
      <c r="D30" s="2" t="s">
        <v>36</v>
      </c>
      <c r="E30" s="4">
        <f>E11</f>
        <v>0</v>
      </c>
      <c r="F30" s="4">
        <f>F11</f>
        <v>0</v>
      </c>
    </row>
    <row r="31" spans="2:6" x14ac:dyDescent="0.3">
      <c r="B31" s="22">
        <v>15</v>
      </c>
      <c r="C31" s="9" t="s">
        <v>60</v>
      </c>
      <c r="D31" s="2" t="s">
        <v>36</v>
      </c>
      <c r="E31" s="4">
        <f>E13*E17/(E19*10^7)</f>
        <v>1.3120462544741458E-2</v>
      </c>
      <c r="F31" s="4">
        <f>F13*F17/(F19*10^7)</f>
        <v>0</v>
      </c>
    </row>
    <row r="32" spans="2:6" x14ac:dyDescent="0.3">
      <c r="B32" s="22">
        <v>16</v>
      </c>
      <c r="C32" s="11" t="s">
        <v>41</v>
      </c>
      <c r="D32" s="10" t="s">
        <v>36</v>
      </c>
      <c r="E32" s="12">
        <f>SUM(E25:E31)</f>
        <v>5.173120462544742</v>
      </c>
      <c r="F32" s="12">
        <f>SUM(F25:F31)</f>
        <v>4.54</v>
      </c>
    </row>
    <row r="33" spans="2:6" x14ac:dyDescent="0.3">
      <c r="B33" s="25">
        <v>17</v>
      </c>
      <c r="C33" s="18" t="s">
        <v>42</v>
      </c>
      <c r="D33" s="17" t="s">
        <v>36</v>
      </c>
      <c r="E33" s="19">
        <f>E32*E19/E24</f>
        <v>5.9244051849543435</v>
      </c>
      <c r="F33" s="19">
        <f>F32*F19/F24</f>
        <v>4.8093872459287592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B095-597E-41DC-9514-47B5B2C65EF2}">
  <dimension ref="B1:L34"/>
  <sheetViews>
    <sheetView topLeftCell="A5" workbookViewId="0">
      <selection activeCell="E23" sqref="E23"/>
    </sheetView>
  </sheetViews>
  <sheetFormatPr defaultRowHeight="14.4" x14ac:dyDescent="0.3"/>
  <cols>
    <col min="2" max="2" width="5.109375" bestFit="1" customWidth="1"/>
    <col min="3" max="3" width="36.77734375" bestFit="1" customWidth="1"/>
    <col min="4" max="4" width="14.33203125" bestFit="1" customWidth="1"/>
    <col min="5" max="5" width="10" bestFit="1" customWidth="1"/>
    <col min="7" max="7" width="5.44140625" bestFit="1" customWidth="1"/>
    <col min="8" max="8" width="11.6640625" bestFit="1" customWidth="1"/>
    <col min="9" max="9" width="13.21875" bestFit="1" customWidth="1"/>
    <col min="10" max="10" width="4" bestFit="1" customWidth="1"/>
    <col min="11" max="11" width="12.109375" bestFit="1" customWidth="1"/>
  </cols>
  <sheetData>
    <row r="1" spans="2:12" x14ac:dyDescent="0.3">
      <c r="B1" t="s">
        <v>61</v>
      </c>
      <c r="G1" t="s">
        <v>140</v>
      </c>
    </row>
    <row r="2" spans="2:12" x14ac:dyDescent="0.3">
      <c r="B2" s="1" t="s">
        <v>0</v>
      </c>
      <c r="C2" s="1" t="s">
        <v>1</v>
      </c>
      <c r="D2" s="1" t="s">
        <v>2</v>
      </c>
      <c r="E2" s="1" t="s">
        <v>3</v>
      </c>
      <c r="G2" s="48" t="s">
        <v>112</v>
      </c>
      <c r="H2" s="48" t="s">
        <v>103</v>
      </c>
      <c r="I2" s="48" t="s">
        <v>95</v>
      </c>
      <c r="J2" s="48" t="s">
        <v>113</v>
      </c>
      <c r="K2" s="48" t="s">
        <v>114</v>
      </c>
    </row>
    <row r="3" spans="2:12" x14ac:dyDescent="0.3">
      <c r="B3" s="2">
        <v>1</v>
      </c>
      <c r="C3" s="2" t="s">
        <v>8</v>
      </c>
      <c r="D3" s="2" t="s">
        <v>102</v>
      </c>
      <c r="E3" s="2">
        <v>170.79</v>
      </c>
      <c r="G3" s="49" t="s">
        <v>104</v>
      </c>
      <c r="H3" s="49" t="s">
        <v>105</v>
      </c>
      <c r="I3" s="8">
        <f>6.5*(1+0.05)</f>
        <v>6.8250000000000002</v>
      </c>
      <c r="J3" s="8">
        <v>0.4</v>
      </c>
      <c r="K3" s="8">
        <f>I3+J3</f>
        <v>7.2250000000000005</v>
      </c>
      <c r="L3">
        <v>2</v>
      </c>
    </row>
    <row r="4" spans="2:12" ht="57.6" x14ac:dyDescent="0.3">
      <c r="B4" s="2">
        <v>2</v>
      </c>
      <c r="C4" s="2" t="s">
        <v>10</v>
      </c>
      <c r="D4" s="2" t="s">
        <v>11</v>
      </c>
      <c r="E4" s="2">
        <v>0.46400000000000002</v>
      </c>
      <c r="G4" s="49" t="s">
        <v>106</v>
      </c>
      <c r="H4" s="50" t="s">
        <v>107</v>
      </c>
      <c r="I4" s="8">
        <v>6.5</v>
      </c>
      <c r="J4" s="8">
        <v>0.4</v>
      </c>
      <c r="K4" s="8">
        <f t="shared" ref="K4:K6" si="0">I4+J4</f>
        <v>6.9</v>
      </c>
      <c r="L4">
        <v>14</v>
      </c>
    </row>
    <row r="5" spans="2:12" x14ac:dyDescent="0.3">
      <c r="B5" s="2">
        <v>3</v>
      </c>
      <c r="C5" s="2" t="s">
        <v>12</v>
      </c>
      <c r="D5" s="2" t="s">
        <v>7</v>
      </c>
      <c r="E5" s="6">
        <v>4.2000000000000003E-2</v>
      </c>
      <c r="G5" s="49" t="s">
        <v>108</v>
      </c>
      <c r="H5" s="49" t="s">
        <v>109</v>
      </c>
      <c r="I5" s="8">
        <f>6.5*(1+0.1)</f>
        <v>7.15</v>
      </c>
      <c r="J5" s="8">
        <v>0.4</v>
      </c>
      <c r="K5" s="8">
        <f t="shared" si="0"/>
        <v>7.5500000000000007</v>
      </c>
      <c r="L5">
        <v>4</v>
      </c>
    </row>
    <row r="6" spans="2:12" x14ac:dyDescent="0.3">
      <c r="B6" s="2">
        <v>4</v>
      </c>
      <c r="C6" s="2" t="s">
        <v>13</v>
      </c>
      <c r="D6" s="2" t="s">
        <v>6</v>
      </c>
      <c r="E6" s="2">
        <v>0.12</v>
      </c>
      <c r="G6" s="49" t="s">
        <v>110</v>
      </c>
      <c r="H6" s="49" t="s">
        <v>111</v>
      </c>
      <c r="I6" s="8">
        <f>6.5*(1-0.1)</f>
        <v>5.8500000000000005</v>
      </c>
      <c r="J6" s="8">
        <v>0.4</v>
      </c>
      <c r="K6" s="8">
        <f t="shared" si="0"/>
        <v>6.2500000000000009</v>
      </c>
      <c r="L6">
        <v>4</v>
      </c>
    </row>
    <row r="7" spans="2:12" x14ac:dyDescent="0.3">
      <c r="B7" s="2">
        <v>5</v>
      </c>
      <c r="C7" s="2" t="s">
        <v>14</v>
      </c>
      <c r="D7" s="2" t="s">
        <v>7</v>
      </c>
      <c r="E7" s="6">
        <v>3.7999999999999999E-2</v>
      </c>
    </row>
    <row r="8" spans="2:12" x14ac:dyDescent="0.3">
      <c r="B8" s="2">
        <v>6</v>
      </c>
      <c r="C8" s="2" t="s">
        <v>15</v>
      </c>
      <c r="D8" s="2" t="s">
        <v>6</v>
      </c>
      <c r="E8" s="2">
        <v>1.65</v>
      </c>
    </row>
    <row r="9" spans="2:12" x14ac:dyDescent="0.3">
      <c r="B9" s="2">
        <v>7</v>
      </c>
      <c r="C9" s="2" t="s">
        <v>16</v>
      </c>
      <c r="D9" s="2" t="s">
        <v>6</v>
      </c>
      <c r="E9" s="2">
        <v>0.7</v>
      </c>
    </row>
    <row r="10" spans="2:12" x14ac:dyDescent="0.3">
      <c r="B10" s="2">
        <v>8</v>
      </c>
      <c r="C10" s="2" t="s">
        <v>17</v>
      </c>
      <c r="D10" s="2" t="s">
        <v>6</v>
      </c>
      <c r="E10" s="2">
        <v>0.5</v>
      </c>
    </row>
    <row r="11" spans="2:12" x14ac:dyDescent="0.3">
      <c r="B11" s="2">
        <v>9</v>
      </c>
      <c r="C11" s="2" t="s">
        <v>18</v>
      </c>
      <c r="D11" s="2" t="s">
        <v>6</v>
      </c>
      <c r="E11" s="2">
        <v>0</v>
      </c>
    </row>
    <row r="12" spans="2:12" x14ac:dyDescent="0.3">
      <c r="B12" s="2">
        <v>10</v>
      </c>
      <c r="C12" s="2" t="s">
        <v>96</v>
      </c>
      <c r="D12" s="2" t="s">
        <v>7</v>
      </c>
      <c r="E12" s="2">
        <v>0.3</v>
      </c>
    </row>
    <row r="13" spans="2:12" x14ac:dyDescent="0.3">
      <c r="B13" s="2">
        <v>11</v>
      </c>
      <c r="C13" s="2" t="s">
        <v>19</v>
      </c>
      <c r="D13" s="2" t="s">
        <v>7</v>
      </c>
      <c r="E13" s="2">
        <v>0.08</v>
      </c>
    </row>
    <row r="15" spans="2:12" x14ac:dyDescent="0.3">
      <c r="B15" t="s">
        <v>129</v>
      </c>
    </row>
    <row r="16" spans="2:12" x14ac:dyDescent="0.3">
      <c r="B16" s="35" t="s">
        <v>23</v>
      </c>
      <c r="C16" s="35" t="s">
        <v>24</v>
      </c>
      <c r="D16" s="35" t="s">
        <v>25</v>
      </c>
      <c r="E16" s="35" t="s">
        <v>100</v>
      </c>
    </row>
    <row r="17" spans="2:5" x14ac:dyDescent="0.3">
      <c r="B17" s="32">
        <v>1</v>
      </c>
      <c r="C17" s="30" t="s">
        <v>97</v>
      </c>
      <c r="D17" s="32" t="s">
        <v>98</v>
      </c>
      <c r="E17" s="32" t="s">
        <v>101</v>
      </c>
    </row>
    <row r="18" spans="2:5" x14ac:dyDescent="0.3">
      <c r="B18" s="32">
        <v>6</v>
      </c>
      <c r="C18" s="30" t="s">
        <v>27</v>
      </c>
      <c r="D18" s="32" t="s">
        <v>28</v>
      </c>
      <c r="E18" s="39">
        <v>1</v>
      </c>
    </row>
    <row r="19" spans="2:5" x14ac:dyDescent="0.3">
      <c r="B19" s="32">
        <v>7</v>
      </c>
      <c r="C19" s="30" t="s">
        <v>29</v>
      </c>
      <c r="D19" s="32" t="s">
        <v>7</v>
      </c>
      <c r="E19" s="40">
        <v>0.26995955998309623</v>
      </c>
    </row>
    <row r="20" spans="2:5" x14ac:dyDescent="0.3">
      <c r="B20" s="32">
        <v>8</v>
      </c>
      <c r="C20" s="30" t="s">
        <v>30</v>
      </c>
      <c r="D20" s="32" t="s">
        <v>26</v>
      </c>
      <c r="E20" s="39">
        <f>E18*E19*24*365*1000/10^7</f>
        <v>0.23648457454519231</v>
      </c>
    </row>
    <row r="21" spans="2:5" x14ac:dyDescent="0.3">
      <c r="B21" s="32">
        <v>9</v>
      </c>
      <c r="C21" s="30" t="s">
        <v>31</v>
      </c>
      <c r="D21" s="32" t="s">
        <v>7</v>
      </c>
      <c r="E21" s="41">
        <f>E5</f>
        <v>4.2000000000000003E-2</v>
      </c>
    </row>
    <row r="22" spans="2:5" x14ac:dyDescent="0.3">
      <c r="B22" s="32">
        <v>10</v>
      </c>
      <c r="C22" s="30" t="s">
        <v>32</v>
      </c>
      <c r="D22" s="32" t="s">
        <v>7</v>
      </c>
      <c r="E22" s="41">
        <f>E7</f>
        <v>3.7999999999999999E-2</v>
      </c>
    </row>
    <row r="23" spans="2:5" x14ac:dyDescent="0.3">
      <c r="B23" s="31">
        <v>11</v>
      </c>
      <c r="C23" s="36" t="s">
        <v>33</v>
      </c>
      <c r="D23" s="31" t="s">
        <v>26</v>
      </c>
      <c r="E23" s="42">
        <f>E20*(1-E21)*(1-E22)</f>
        <v>0.21794323796255105</v>
      </c>
    </row>
    <row r="24" spans="2:5" x14ac:dyDescent="0.3">
      <c r="B24" s="32">
        <v>12</v>
      </c>
      <c r="C24" s="30" t="s">
        <v>19</v>
      </c>
      <c r="D24" s="32" t="s">
        <v>7</v>
      </c>
      <c r="E24" s="41">
        <v>2.1001106379553336E-3</v>
      </c>
    </row>
    <row r="25" spans="2:5" x14ac:dyDescent="0.3">
      <c r="B25" s="32">
        <v>13</v>
      </c>
      <c r="C25" s="30" t="s">
        <v>99</v>
      </c>
      <c r="D25" s="32" t="s">
        <v>7</v>
      </c>
      <c r="E25" s="41">
        <v>0</v>
      </c>
    </row>
    <row r="26" spans="2:5" x14ac:dyDescent="0.3">
      <c r="B26" s="37">
        <v>14</v>
      </c>
      <c r="C26" s="38" t="s">
        <v>34</v>
      </c>
      <c r="D26" s="37" t="s">
        <v>26</v>
      </c>
      <c r="E26" s="43">
        <f>E23*(1-E24)*(1-E25)</f>
        <v>0.21748553305003546</v>
      </c>
    </row>
    <row r="27" spans="2:5" x14ac:dyDescent="0.3">
      <c r="B27" s="32">
        <v>15</v>
      </c>
      <c r="C27" s="30" t="s">
        <v>35</v>
      </c>
      <c r="D27" s="32" t="s">
        <v>36</v>
      </c>
      <c r="E27" s="39">
        <v>3.5</v>
      </c>
    </row>
    <row r="28" spans="2:5" x14ac:dyDescent="0.3">
      <c r="B28" s="32">
        <v>16</v>
      </c>
      <c r="C28" s="30" t="s">
        <v>37</v>
      </c>
      <c r="D28" s="32" t="s">
        <v>36</v>
      </c>
      <c r="E28" s="39">
        <f>E3*12*E18*1000/(E20*10^7)</f>
        <v>0.86664426377135373</v>
      </c>
    </row>
    <row r="29" spans="2:5" x14ac:dyDescent="0.3">
      <c r="B29" s="32">
        <v>17</v>
      </c>
      <c r="C29" s="30" t="s">
        <v>38</v>
      </c>
      <c r="D29" s="32" t="s">
        <v>36</v>
      </c>
      <c r="E29" s="39">
        <f>E6</f>
        <v>0.12</v>
      </c>
    </row>
    <row r="30" spans="2:5" x14ac:dyDescent="0.3">
      <c r="B30" s="32">
        <v>18</v>
      </c>
      <c r="C30" s="30" t="s">
        <v>39</v>
      </c>
      <c r="D30" s="32" t="s">
        <v>36</v>
      </c>
      <c r="E30" s="39">
        <v>0</v>
      </c>
    </row>
    <row r="31" spans="2:5" x14ac:dyDescent="0.3">
      <c r="B31" s="32">
        <v>19</v>
      </c>
      <c r="C31" s="30" t="s">
        <v>16</v>
      </c>
      <c r="D31" s="32" t="s">
        <v>36</v>
      </c>
      <c r="E31" s="39">
        <v>0</v>
      </c>
    </row>
    <row r="32" spans="2:5" x14ac:dyDescent="0.3">
      <c r="B32" s="32">
        <v>20</v>
      </c>
      <c r="C32" s="30" t="s">
        <v>17</v>
      </c>
      <c r="D32" s="32" t="s">
        <v>36</v>
      </c>
      <c r="E32" s="39">
        <v>0</v>
      </c>
    </row>
    <row r="33" spans="2:5" x14ac:dyDescent="0.3">
      <c r="B33" s="31">
        <v>21</v>
      </c>
      <c r="C33" s="36" t="s">
        <v>41</v>
      </c>
      <c r="D33" s="31" t="s">
        <v>36</v>
      </c>
      <c r="E33" s="42">
        <f>SUM(E27:E32)</f>
        <v>4.4866442637713542</v>
      </c>
    </row>
    <row r="34" spans="2:5" x14ac:dyDescent="0.3">
      <c r="B34" s="44">
        <v>22</v>
      </c>
      <c r="C34" s="45" t="s">
        <v>42</v>
      </c>
      <c r="D34" s="44" t="s">
        <v>36</v>
      </c>
      <c r="E34" s="46">
        <f>E33*E20/E26</f>
        <v>4.8785873017562684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036C-182C-462A-8A2A-3B3C2CA3A2E9}">
  <dimension ref="B1:P38"/>
  <sheetViews>
    <sheetView topLeftCell="A3" workbookViewId="0">
      <selection activeCell="E23" sqref="E23"/>
    </sheetView>
  </sheetViews>
  <sheetFormatPr defaultRowHeight="14.4" x14ac:dyDescent="0.3"/>
  <cols>
    <col min="2" max="2" width="5.109375" bestFit="1" customWidth="1"/>
    <col min="3" max="3" width="36.77734375" bestFit="1" customWidth="1"/>
    <col min="4" max="4" width="14.33203125" bestFit="1" customWidth="1"/>
    <col min="5" max="5" width="8" bestFit="1" customWidth="1"/>
    <col min="6" max="6" width="10.5546875" bestFit="1" customWidth="1"/>
    <col min="9" max="9" width="8.21875" bestFit="1" customWidth="1"/>
    <col min="10" max="10" width="5.88671875" bestFit="1" customWidth="1"/>
    <col min="11" max="11" width="13.77734375" bestFit="1" customWidth="1"/>
    <col min="12" max="12" width="10.88671875" bestFit="1" customWidth="1"/>
    <col min="13" max="13" width="13.21875" bestFit="1" customWidth="1"/>
    <col min="14" max="14" width="9.109375" bestFit="1" customWidth="1"/>
    <col min="15" max="15" width="7" bestFit="1" customWidth="1"/>
    <col min="16" max="16" width="12.109375" bestFit="1" customWidth="1"/>
  </cols>
  <sheetData>
    <row r="1" spans="2:16" x14ac:dyDescent="0.3">
      <c r="B1" t="s">
        <v>61</v>
      </c>
      <c r="I1" t="s">
        <v>138</v>
      </c>
    </row>
    <row r="2" spans="2:16" x14ac:dyDescent="0.3">
      <c r="B2" s="1" t="s">
        <v>0</v>
      </c>
      <c r="C2" s="1" t="s">
        <v>1</v>
      </c>
      <c r="D2" s="1" t="s">
        <v>2</v>
      </c>
      <c r="E2" s="1" t="s">
        <v>3</v>
      </c>
      <c r="I2" s="10" t="s">
        <v>131</v>
      </c>
      <c r="J2" s="10" t="s">
        <v>130</v>
      </c>
      <c r="K2" s="33" t="s">
        <v>115</v>
      </c>
      <c r="L2" s="33" t="s">
        <v>116</v>
      </c>
      <c r="M2" s="10" t="s">
        <v>95</v>
      </c>
      <c r="N2" s="10" t="s">
        <v>127</v>
      </c>
      <c r="O2" s="10" t="s">
        <v>113</v>
      </c>
      <c r="P2" s="10" t="s">
        <v>129</v>
      </c>
    </row>
    <row r="3" spans="2:16" x14ac:dyDescent="0.3">
      <c r="B3" s="2">
        <v>1</v>
      </c>
      <c r="C3" s="2" t="s">
        <v>8</v>
      </c>
      <c r="D3" s="2" t="s">
        <v>11</v>
      </c>
      <c r="E3" s="2">
        <v>0.13370000000000001</v>
      </c>
      <c r="F3" t="s">
        <v>133</v>
      </c>
      <c r="I3" s="2" t="s">
        <v>83</v>
      </c>
      <c r="J3" s="2">
        <v>5</v>
      </c>
      <c r="K3" s="52" t="s">
        <v>117</v>
      </c>
      <c r="L3" s="53">
        <v>-0.15</v>
      </c>
      <c r="M3" s="2">
        <v>6.1</v>
      </c>
      <c r="N3" s="2">
        <f>M3*(1+L3)</f>
        <v>5.1849999999999996</v>
      </c>
      <c r="O3" s="2">
        <f>M3*0.075</f>
        <v>0.45749999999999996</v>
      </c>
      <c r="P3" s="2">
        <f>N3+O3</f>
        <v>5.6424999999999992</v>
      </c>
    </row>
    <row r="4" spans="2:16" x14ac:dyDescent="0.3">
      <c r="B4" s="2">
        <v>2</v>
      </c>
      <c r="C4" s="2" t="s">
        <v>12</v>
      </c>
      <c r="D4" s="2" t="s">
        <v>7</v>
      </c>
      <c r="E4" s="6">
        <v>3.1800000000000002E-2</v>
      </c>
      <c r="I4" s="2" t="s">
        <v>85</v>
      </c>
      <c r="J4" s="2">
        <v>9</v>
      </c>
      <c r="K4" s="52" t="s">
        <v>118</v>
      </c>
      <c r="L4" s="8">
        <v>0</v>
      </c>
      <c r="M4" s="2">
        <v>6.1</v>
      </c>
      <c r="N4" s="2">
        <f t="shared" ref="N4:N6" si="0">M4*(1+L4)</f>
        <v>6.1</v>
      </c>
      <c r="O4" s="2">
        <f t="shared" ref="O4:O6" si="1">M4*0.075</f>
        <v>0.45749999999999996</v>
      </c>
      <c r="P4" s="2">
        <f t="shared" ref="P4:P6" si="2">N4+O4</f>
        <v>6.5574999999999992</v>
      </c>
    </row>
    <row r="5" spans="2:16" x14ac:dyDescent="0.3">
      <c r="B5" s="2">
        <v>3</v>
      </c>
      <c r="C5" s="2" t="s">
        <v>132</v>
      </c>
      <c r="D5" s="2" t="s">
        <v>6</v>
      </c>
      <c r="E5" s="2">
        <v>0.05</v>
      </c>
      <c r="I5" s="2" t="s">
        <v>81</v>
      </c>
      <c r="J5" s="2">
        <v>8</v>
      </c>
      <c r="K5" s="52" t="s">
        <v>119</v>
      </c>
      <c r="L5" s="53">
        <v>0.15</v>
      </c>
      <c r="M5" s="2">
        <v>6.1</v>
      </c>
      <c r="N5" s="2">
        <f t="shared" si="0"/>
        <v>7.0149999999999988</v>
      </c>
      <c r="O5" s="2">
        <f t="shared" si="1"/>
        <v>0.45749999999999996</v>
      </c>
      <c r="P5" s="2">
        <f t="shared" si="2"/>
        <v>7.4724999999999984</v>
      </c>
    </row>
    <row r="6" spans="2:16" x14ac:dyDescent="0.3">
      <c r="B6" s="2">
        <v>4</v>
      </c>
      <c r="C6" s="2" t="s">
        <v>13</v>
      </c>
      <c r="D6" s="2" t="s">
        <v>6</v>
      </c>
      <c r="E6" s="2">
        <v>0.49925000000000003</v>
      </c>
      <c r="F6" t="s">
        <v>133</v>
      </c>
      <c r="I6" s="2" t="s">
        <v>85</v>
      </c>
      <c r="J6" s="2">
        <v>2</v>
      </c>
      <c r="K6" s="52" t="s">
        <v>120</v>
      </c>
      <c r="L6" s="8">
        <v>0</v>
      </c>
      <c r="M6" s="2">
        <v>6.1</v>
      </c>
      <c r="N6" s="2">
        <f t="shared" si="0"/>
        <v>6.1</v>
      </c>
      <c r="O6" s="2">
        <f t="shared" si="1"/>
        <v>0.45749999999999996</v>
      </c>
      <c r="P6" s="2">
        <f t="shared" si="2"/>
        <v>6.5574999999999992</v>
      </c>
    </row>
    <row r="7" spans="2:16" x14ac:dyDescent="0.3">
      <c r="B7" s="2">
        <v>5</v>
      </c>
      <c r="C7" s="2" t="s">
        <v>14</v>
      </c>
      <c r="D7" s="2" t="s">
        <v>7</v>
      </c>
      <c r="E7" s="6">
        <v>0.03</v>
      </c>
      <c r="K7" s="51"/>
      <c r="L7" s="47"/>
    </row>
    <row r="8" spans="2:16" x14ac:dyDescent="0.3">
      <c r="B8" s="2">
        <v>6</v>
      </c>
      <c r="C8" s="2" t="s">
        <v>15</v>
      </c>
      <c r="D8" s="2" t="s">
        <v>6</v>
      </c>
      <c r="E8" s="2">
        <v>0</v>
      </c>
      <c r="I8" s="10" t="s">
        <v>131</v>
      </c>
      <c r="J8" s="10" t="s">
        <v>130</v>
      </c>
      <c r="K8" s="54" t="s">
        <v>121</v>
      </c>
      <c r="L8" s="33" t="s">
        <v>122</v>
      </c>
      <c r="M8" s="10" t="s">
        <v>95</v>
      </c>
      <c r="N8" s="10" t="s">
        <v>128</v>
      </c>
      <c r="O8" s="10" t="s">
        <v>113</v>
      </c>
      <c r="P8" s="10" t="s">
        <v>129</v>
      </c>
    </row>
    <row r="9" spans="2:16" x14ac:dyDescent="0.3">
      <c r="B9" s="2">
        <v>7</v>
      </c>
      <c r="C9" s="2" t="s">
        <v>16</v>
      </c>
      <c r="D9" s="2" t="s">
        <v>6</v>
      </c>
      <c r="E9" s="2">
        <v>0</v>
      </c>
      <c r="I9" s="2" t="s">
        <v>85</v>
      </c>
      <c r="J9" s="2">
        <v>6</v>
      </c>
      <c r="K9" s="52" t="s">
        <v>123</v>
      </c>
      <c r="L9" s="53">
        <v>0</v>
      </c>
      <c r="M9" s="2">
        <v>6.1</v>
      </c>
      <c r="N9" s="2">
        <f>M9*(1+L9)</f>
        <v>6.1</v>
      </c>
      <c r="O9" s="2">
        <f>M9*0.075</f>
        <v>0.45749999999999996</v>
      </c>
      <c r="P9" s="2">
        <f>N9+O9</f>
        <v>6.5574999999999992</v>
      </c>
    </row>
    <row r="10" spans="2:16" x14ac:dyDescent="0.3">
      <c r="B10" s="2">
        <v>8</v>
      </c>
      <c r="C10" s="2" t="s">
        <v>18</v>
      </c>
      <c r="D10" s="2" t="s">
        <v>6</v>
      </c>
      <c r="E10" s="2">
        <v>0</v>
      </c>
      <c r="I10" s="2" t="s">
        <v>85</v>
      </c>
      <c r="J10" s="2">
        <v>6</v>
      </c>
      <c r="K10" s="52" t="s">
        <v>124</v>
      </c>
      <c r="L10" s="53">
        <v>0</v>
      </c>
      <c r="M10" s="2">
        <v>6.1</v>
      </c>
      <c r="N10" s="2">
        <f t="shared" ref="N10:N12" si="3">M10*(1+L10)</f>
        <v>6.1</v>
      </c>
      <c r="O10" s="2">
        <f t="shared" ref="O10:O12" si="4">M10*0.075</f>
        <v>0.45749999999999996</v>
      </c>
      <c r="P10" s="2">
        <f t="shared" ref="P10:P12" si="5">N10+O10</f>
        <v>6.5574999999999992</v>
      </c>
    </row>
    <row r="11" spans="2:16" x14ac:dyDescent="0.3">
      <c r="B11" s="2">
        <v>9</v>
      </c>
      <c r="C11" s="2" t="s">
        <v>96</v>
      </c>
      <c r="D11" s="2" t="s">
        <v>7</v>
      </c>
      <c r="E11" s="6">
        <v>0.3</v>
      </c>
      <c r="I11" s="2" t="s">
        <v>81</v>
      </c>
      <c r="J11" s="2">
        <v>6</v>
      </c>
      <c r="K11" s="52" t="s">
        <v>125</v>
      </c>
      <c r="L11" s="53">
        <v>0.15</v>
      </c>
      <c r="M11" s="2">
        <v>6.1</v>
      </c>
      <c r="N11" s="2">
        <f t="shared" si="3"/>
        <v>7.0149999999999988</v>
      </c>
      <c r="O11" s="2">
        <f t="shared" si="4"/>
        <v>0.45749999999999996</v>
      </c>
      <c r="P11" s="2">
        <f t="shared" si="5"/>
        <v>7.4724999999999984</v>
      </c>
    </row>
    <row r="12" spans="2:16" x14ac:dyDescent="0.3">
      <c r="B12" s="2">
        <v>10</v>
      </c>
      <c r="C12" s="2" t="s">
        <v>19</v>
      </c>
      <c r="D12" s="2" t="s">
        <v>7</v>
      </c>
      <c r="E12" s="6">
        <v>0.08</v>
      </c>
      <c r="I12" s="2" t="s">
        <v>83</v>
      </c>
      <c r="J12" s="2">
        <v>6</v>
      </c>
      <c r="K12" s="52" t="s">
        <v>126</v>
      </c>
      <c r="L12" s="53">
        <v>-0.15</v>
      </c>
      <c r="M12" s="2">
        <v>6.1</v>
      </c>
      <c r="N12" s="2">
        <f t="shared" si="3"/>
        <v>5.1849999999999996</v>
      </c>
      <c r="O12" s="2">
        <f t="shared" si="4"/>
        <v>0.45749999999999996</v>
      </c>
      <c r="P12" s="2">
        <f t="shared" si="5"/>
        <v>5.6424999999999992</v>
      </c>
    </row>
    <row r="15" spans="2:16" x14ac:dyDescent="0.3">
      <c r="B15" t="s">
        <v>129</v>
      </c>
    </row>
    <row r="16" spans="2:16" x14ac:dyDescent="0.3">
      <c r="B16" s="1" t="s">
        <v>23</v>
      </c>
      <c r="C16" s="1" t="s">
        <v>24</v>
      </c>
      <c r="D16" s="1" t="s">
        <v>25</v>
      </c>
      <c r="E16" s="1" t="s">
        <v>100</v>
      </c>
    </row>
    <row r="17" spans="2:5" x14ac:dyDescent="0.3">
      <c r="B17" s="2">
        <v>1</v>
      </c>
      <c r="C17" s="2" t="s">
        <v>27</v>
      </c>
      <c r="D17" s="2" t="s">
        <v>28</v>
      </c>
      <c r="E17" s="2">
        <v>1</v>
      </c>
    </row>
    <row r="18" spans="2:5" x14ac:dyDescent="0.3">
      <c r="B18" s="2">
        <v>2</v>
      </c>
      <c r="C18" s="2" t="s">
        <v>29</v>
      </c>
      <c r="D18" s="2" t="s">
        <v>7</v>
      </c>
      <c r="E18" s="6">
        <v>0.26995955998309623</v>
      </c>
    </row>
    <row r="19" spans="2:5" x14ac:dyDescent="0.3">
      <c r="B19" s="2">
        <v>3</v>
      </c>
      <c r="C19" s="2" t="s">
        <v>30</v>
      </c>
      <c r="D19" s="2" t="s">
        <v>26</v>
      </c>
      <c r="E19" s="4">
        <f>E18*E17*24*365*1000/10^7</f>
        <v>0.23648457454519231</v>
      </c>
    </row>
    <row r="20" spans="2:5" x14ac:dyDescent="0.3">
      <c r="B20" s="2">
        <v>4</v>
      </c>
      <c r="C20" s="2" t="s">
        <v>31</v>
      </c>
      <c r="D20" s="2" t="s">
        <v>7</v>
      </c>
      <c r="E20" s="6">
        <v>3.1800000000000002E-2</v>
      </c>
    </row>
    <row r="21" spans="2:5" x14ac:dyDescent="0.3">
      <c r="B21" s="2">
        <v>5</v>
      </c>
      <c r="C21" s="2" t="s">
        <v>32</v>
      </c>
      <c r="D21" s="2" t="s">
        <v>7</v>
      </c>
      <c r="E21" s="6">
        <f>E7</f>
        <v>0.03</v>
      </c>
    </row>
    <row r="22" spans="2:5" x14ac:dyDescent="0.3">
      <c r="B22" s="2">
        <v>6</v>
      </c>
      <c r="C22" s="2" t="s">
        <v>33</v>
      </c>
      <c r="D22" s="2" t="s">
        <v>26</v>
      </c>
      <c r="E22" s="4">
        <f>E19*(1-E20)*(1-E21)</f>
        <v>0.2220954341224155</v>
      </c>
    </row>
    <row r="23" spans="2:5" x14ac:dyDescent="0.3">
      <c r="B23" s="2">
        <v>7</v>
      </c>
      <c r="C23" s="2" t="s">
        <v>19</v>
      </c>
      <c r="D23" s="2" t="s">
        <v>7</v>
      </c>
      <c r="E23" s="6">
        <v>0.08</v>
      </c>
    </row>
    <row r="24" spans="2:5" x14ac:dyDescent="0.3">
      <c r="B24" s="14">
        <v>8</v>
      </c>
      <c r="C24" s="14" t="s">
        <v>34</v>
      </c>
      <c r="D24" s="14" t="s">
        <v>26</v>
      </c>
      <c r="E24" s="16">
        <f>E22*(1-E23)</f>
        <v>0.20432779939262227</v>
      </c>
    </row>
    <row r="25" spans="2:5" x14ac:dyDescent="0.3">
      <c r="B25" s="10">
        <v>9</v>
      </c>
      <c r="C25" s="10" t="s">
        <v>134</v>
      </c>
      <c r="D25" s="10" t="s">
        <v>36</v>
      </c>
      <c r="E25" s="12">
        <v>3.5</v>
      </c>
    </row>
    <row r="26" spans="2:5" x14ac:dyDescent="0.3">
      <c r="B26" s="2">
        <v>10</v>
      </c>
      <c r="C26" s="2" t="s">
        <v>135</v>
      </c>
      <c r="D26" s="2" t="s">
        <v>36</v>
      </c>
      <c r="E26" s="4">
        <f>E3</f>
        <v>0.13370000000000001</v>
      </c>
    </row>
    <row r="27" spans="2:5" x14ac:dyDescent="0.3">
      <c r="B27" s="2">
        <v>11</v>
      </c>
      <c r="C27" s="2" t="s">
        <v>136</v>
      </c>
      <c r="D27" s="2" t="s">
        <v>36</v>
      </c>
      <c r="E27" s="4">
        <f>E6</f>
        <v>0.49925000000000003</v>
      </c>
    </row>
    <row r="28" spans="2:5" x14ac:dyDescent="0.3">
      <c r="B28" s="2">
        <v>12</v>
      </c>
      <c r="C28" s="2" t="s">
        <v>39</v>
      </c>
      <c r="D28" s="2" t="s">
        <v>36</v>
      </c>
      <c r="E28" s="4">
        <v>0</v>
      </c>
    </row>
    <row r="29" spans="2:5" x14ac:dyDescent="0.3">
      <c r="B29" s="2">
        <v>13</v>
      </c>
      <c r="C29" s="2" t="s">
        <v>16</v>
      </c>
      <c r="D29" s="2" t="s">
        <v>36</v>
      </c>
      <c r="E29" s="4">
        <v>0</v>
      </c>
    </row>
    <row r="30" spans="2:5" x14ac:dyDescent="0.3">
      <c r="B30" s="2">
        <v>14</v>
      </c>
      <c r="C30" s="2" t="s">
        <v>132</v>
      </c>
      <c r="D30" s="2" t="s">
        <v>36</v>
      </c>
      <c r="E30" s="4">
        <v>0.05</v>
      </c>
    </row>
    <row r="31" spans="2:5" x14ac:dyDescent="0.3">
      <c r="B31" s="2">
        <v>15</v>
      </c>
      <c r="C31" s="2" t="s">
        <v>17</v>
      </c>
      <c r="D31" s="2" t="s">
        <v>36</v>
      </c>
      <c r="E31" s="4">
        <v>0</v>
      </c>
    </row>
    <row r="32" spans="2:5" x14ac:dyDescent="0.3">
      <c r="B32" s="10">
        <v>16</v>
      </c>
      <c r="C32" s="10" t="s">
        <v>41</v>
      </c>
      <c r="D32" s="10" t="s">
        <v>36</v>
      </c>
      <c r="E32" s="12">
        <f>SUM(E25:E31)</f>
        <v>4.1829499999999999</v>
      </c>
    </row>
    <row r="33" spans="2:6" x14ac:dyDescent="0.3">
      <c r="B33" s="17">
        <v>17</v>
      </c>
      <c r="C33" s="17" t="s">
        <v>42</v>
      </c>
      <c r="D33" s="17" t="s">
        <v>36</v>
      </c>
      <c r="E33" s="19">
        <f>E32*E19/E24</f>
        <v>4.8412558351545076</v>
      </c>
    </row>
    <row r="34" spans="2:6" x14ac:dyDescent="0.3">
      <c r="B34" s="29"/>
      <c r="C34" s="29"/>
      <c r="D34" s="29"/>
      <c r="E34" s="29"/>
      <c r="F34" s="29"/>
    </row>
    <row r="35" spans="2:6" x14ac:dyDescent="0.3">
      <c r="B35" s="29"/>
      <c r="C35" s="29"/>
      <c r="D35" s="29"/>
      <c r="E35" s="29"/>
      <c r="F35" s="29"/>
    </row>
    <row r="36" spans="2:6" x14ac:dyDescent="0.3">
      <c r="B36" s="29"/>
      <c r="C36" s="29"/>
      <c r="D36" s="29"/>
      <c r="E36" s="29"/>
      <c r="F36" s="29"/>
    </row>
    <row r="37" spans="2:6" x14ac:dyDescent="0.3">
      <c r="B37" s="29"/>
      <c r="C37" s="29"/>
      <c r="D37" s="29"/>
      <c r="E37" s="29"/>
      <c r="F37" s="29"/>
    </row>
    <row r="38" spans="2:6" x14ac:dyDescent="0.3">
      <c r="B38" s="29"/>
      <c r="C38" s="29"/>
      <c r="D38" s="29"/>
      <c r="E38" s="29"/>
      <c r="F3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Karnataka</vt:lpstr>
      <vt:lpstr>Andhra pradesh</vt:lpstr>
      <vt:lpstr>Tamil Nadu</vt:lpstr>
      <vt:lpstr>Maharashtra</vt:lpstr>
      <vt:lpstr>Rajasthan </vt:lpstr>
      <vt:lpstr>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JouleWise Advisory</dc:creator>
  <cp:lastModifiedBy>JouleWise Advisory</cp:lastModifiedBy>
  <dcterms:created xsi:type="dcterms:W3CDTF">2015-06-05T18:17:20Z</dcterms:created>
  <dcterms:modified xsi:type="dcterms:W3CDTF">2026-10-08T04:05:10Z</dcterms:modified>
</cp:coreProperties>
</file>
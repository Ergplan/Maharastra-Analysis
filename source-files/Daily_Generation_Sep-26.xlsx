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\Desktop\"/>
    </mc:Choice>
  </mc:AlternateContent>
  <xr:revisionPtr revIDLastSave="0" documentId="13_ncr:1_{0E97AC73-2679-48CE-96D7-815672570D13}" xr6:coauthVersionLast="36" xr6:coauthVersionMax="36" xr10:uidLastSave="{00000000-0000-0000-0000-000000000000}"/>
  <bookViews>
    <workbookView xWindow="0" yWindow="0" windowWidth="20490" windowHeight="7545" xr2:uid="{03753B10-811C-4F7D-9A69-BD7EDEC6A2F6}"/>
  </bookViews>
  <sheets>
    <sheet name="Sep-26" sheetId="9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6" i="9" l="1"/>
  <c r="D36" i="9" s="1"/>
  <c r="B35" i="9" l="1"/>
  <c r="D35" i="9" s="1"/>
  <c r="B33" i="9" l="1"/>
  <c r="D33" i="9" s="1"/>
  <c r="B32" i="9" l="1"/>
  <c r="D32" i="9" s="1"/>
  <c r="B31" i="9" l="1"/>
  <c r="D31" i="9" s="1"/>
  <c r="B30" i="9" l="1"/>
  <c r="D30" i="9" s="1"/>
  <c r="B29" i="9" l="1"/>
  <c r="D29" i="9" s="1"/>
  <c r="B28" i="9" l="1"/>
  <c r="D28" i="9" s="1"/>
  <c r="B27" i="9" l="1"/>
  <c r="D27" i="9" s="1"/>
  <c r="B26" i="9" l="1"/>
  <c r="D26" i="9" s="1"/>
  <c r="B25" i="9" l="1"/>
  <c r="D25" i="9" s="1"/>
  <c r="B24" i="9" l="1"/>
  <c r="D24" i="9" s="1"/>
  <c r="B23" i="9" l="1"/>
  <c r="D23" i="9" s="1"/>
  <c r="B22" i="9" l="1"/>
  <c r="D22" i="9" s="1"/>
  <c r="B21" i="9" l="1"/>
  <c r="D21" i="9" s="1"/>
  <c r="B20" i="9" l="1"/>
  <c r="D20" i="9" s="1"/>
  <c r="B19" i="9" l="1"/>
  <c r="D19" i="9" s="1"/>
  <c r="B18" i="9" l="1"/>
  <c r="D18" i="9" s="1"/>
  <c r="B17" i="9" l="1"/>
  <c r="D17" i="9" s="1"/>
  <c r="B16" i="9" l="1"/>
  <c r="D16" i="9" s="1"/>
  <c r="B15" i="9" l="1"/>
  <c r="D15" i="9" s="1"/>
  <c r="B14" i="9" l="1"/>
  <c r="D14" i="9" s="1"/>
  <c r="B13" i="9" l="1"/>
  <c r="D13" i="9" s="1"/>
  <c r="B12" i="9" l="1"/>
  <c r="D12" i="9" s="1"/>
  <c r="B11" i="9" l="1"/>
  <c r="D11" i="9" s="1"/>
  <c r="B10" i="9" l="1"/>
  <c r="D10" i="9" s="1"/>
  <c r="B9" i="9" l="1"/>
  <c r="D9" i="9" s="1"/>
  <c r="B8" i="9" l="1"/>
  <c r="D8" i="9" s="1"/>
  <c r="D7" i="9" l="1"/>
  <c r="D37" i="9" l="1"/>
</calcChain>
</file>

<file path=xl/sharedStrings.xml><?xml version="1.0" encoding="utf-8"?>
<sst xmlns="http://schemas.openxmlformats.org/spreadsheetml/2006/main" count="8" uniqueCount="8">
  <si>
    <t>Date</t>
  </si>
  <si>
    <t>Export</t>
  </si>
  <si>
    <t xml:space="preserve">IMR
(MWH)
</t>
  </si>
  <si>
    <t xml:space="preserve">FMR
(MWH)
</t>
  </si>
  <si>
    <t xml:space="preserve">DIFFERENCE
(KWH)
</t>
  </si>
  <si>
    <t>TOTAL</t>
  </si>
  <si>
    <t>ABT Meter</t>
  </si>
  <si>
    <t>7.5 MWp Deoli Maharastra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</si>
</sst>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/>
    </xf>
    <xf numFmtId="2" fontId="2" fillId="0" borderId="6" xfId="0" applyNumberFormat="1" applyFont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1" fontId="2" fillId="4" borderId="11" xfId="0" applyNumberFormat="1" applyFont="1" applyFill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9E415-091A-4A4D-89AD-D4C9E4AEF613}">
  <dimension ref="A1:D37"/>
  <sheetViews>
    <sheetView tabSelected="1" workbookViewId="0">
      <pane ySplit="6" topLeftCell="A23" activePane="bottomLeft" state="frozen"/>
      <selection pane="bottomLeft" activeCell="F35" sqref="F35"/>
    </sheetView>
  </sheetViews>
  <sheetFormatPr defaultRowHeight="15" x14ac:dyDescent="0.25"/>
  <cols>
    <col min="2" max="3" width="9.42578125" bestFit="1" customWidth="1"/>
    <col min="4" max="4" width="13.7109375" customWidth="1"/>
  </cols>
  <sheetData>
    <row r="1" spans="1:4" ht="16.5" thickBot="1" x14ac:dyDescent="0.3">
      <c r="A1" s="12" t="s">
        <v>7</v>
      </c>
      <c r="B1" s="13"/>
      <c r="C1" s="13"/>
      <c r="D1" s="14"/>
    </row>
    <row r="2" spans="1:4" ht="19.5" thickBot="1" x14ac:dyDescent="0.3">
      <c r="A2" s="15" t="s">
        <v>6</v>
      </c>
      <c r="B2" s="16"/>
      <c r="C2" s="16"/>
      <c r="D2" s="17"/>
    </row>
    <row r="3" spans="1:4" ht="15.75" thickBot="1" x14ac:dyDescent="0.3">
      <c r="A3" s="1"/>
      <c r="B3" s="18" t="s">
        <v>1</v>
      </c>
      <c r="C3" s="18"/>
      <c r="D3" s="18"/>
    </row>
    <row r="4" spans="1:4" x14ac:dyDescent="0.25">
      <c r="A4" s="19" t="s">
        <v>0</v>
      </c>
      <c r="B4" s="22" t="s">
        <v>2</v>
      </c>
      <c r="C4" s="22" t="s">
        <v>3</v>
      </c>
      <c r="D4" s="25" t="s">
        <v>4</v>
      </c>
    </row>
    <row r="5" spans="1:4" x14ac:dyDescent="0.25">
      <c r="A5" s="20"/>
      <c r="B5" s="23"/>
      <c r="C5" s="23"/>
      <c r="D5" s="26"/>
    </row>
    <row r="6" spans="1:4" x14ac:dyDescent="0.25">
      <c r="A6" s="21"/>
      <c r="B6" s="24"/>
      <c r="C6" s="24"/>
      <c r="D6" s="27"/>
    </row>
    <row r="7" spans="1:4" x14ac:dyDescent="0.25">
      <c r="A7" s="6">
        <v>46266</v>
      </c>
      <c r="B7" s="4">
        <v>129097.69547000001</v>
      </c>
      <c r="C7" s="4">
        <v>129389.84841999999</v>
      </c>
      <c r="D7" s="5">
        <f t="shared" ref="D7:D33" si="0">(C7-B7)*90</f>
        <v>26293.76549999899</v>
      </c>
    </row>
    <row r="8" spans="1:4" x14ac:dyDescent="0.25">
      <c r="A8" s="6">
        <v>46267</v>
      </c>
      <c r="B8" s="4">
        <f>C7</f>
        <v>129389.84841999999</v>
      </c>
      <c r="C8" s="4">
        <v>129636.70342999999</v>
      </c>
      <c r="D8" s="5">
        <f t="shared" si="0"/>
        <v>22216.950899999938</v>
      </c>
    </row>
    <row r="9" spans="1:4" x14ac:dyDescent="0.25">
      <c r="A9" s="6">
        <v>46268</v>
      </c>
      <c r="B9" s="4">
        <f>C8</f>
        <v>129636.70342999999</v>
      </c>
      <c r="C9" s="4">
        <v>129744.80438</v>
      </c>
      <c r="D9" s="5">
        <f t="shared" si="0"/>
        <v>9729.0855000006559</v>
      </c>
    </row>
    <row r="10" spans="1:4" x14ac:dyDescent="0.25">
      <c r="A10" s="6">
        <v>46269</v>
      </c>
      <c r="B10" s="4">
        <f>C9</f>
        <v>129744.80438</v>
      </c>
      <c r="C10" s="4">
        <v>129945.62142</v>
      </c>
      <c r="D10" s="5">
        <f t="shared" si="0"/>
        <v>18073.5335999995</v>
      </c>
    </row>
    <row r="11" spans="1:4" x14ac:dyDescent="0.25">
      <c r="A11" s="6">
        <v>46270</v>
      </c>
      <c r="B11" s="4">
        <f>C10</f>
        <v>129945.62142</v>
      </c>
      <c r="C11" s="4">
        <v>130099.28838</v>
      </c>
      <c r="D11" s="5">
        <f t="shared" si="0"/>
        <v>13830.026400000206</v>
      </c>
    </row>
    <row r="12" spans="1:4" x14ac:dyDescent="0.25">
      <c r="A12" s="6">
        <v>46271</v>
      </c>
      <c r="B12" s="4">
        <f>C11</f>
        <v>130099.28838</v>
      </c>
      <c r="C12" s="4">
        <v>130455.46175</v>
      </c>
      <c r="D12" s="5">
        <f t="shared" si="0"/>
        <v>32055.603300000366</v>
      </c>
    </row>
    <row r="13" spans="1:4" x14ac:dyDescent="0.25">
      <c r="A13" s="6">
        <v>46272</v>
      </c>
      <c r="B13" s="4">
        <f t="shared" ref="B13:B33" si="1">C12</f>
        <v>130455.46175</v>
      </c>
      <c r="C13" s="4">
        <v>130823.45329999999</v>
      </c>
      <c r="D13" s="5">
        <f t="shared" si="0"/>
        <v>33119.239499999239</v>
      </c>
    </row>
    <row r="14" spans="1:4" x14ac:dyDescent="0.25">
      <c r="A14" s="6">
        <v>46273</v>
      </c>
      <c r="B14" s="4">
        <f t="shared" si="1"/>
        <v>130823.45329999999</v>
      </c>
      <c r="C14" s="4">
        <v>130997.08099</v>
      </c>
      <c r="D14" s="5">
        <f t="shared" si="0"/>
        <v>15626.49210000076</v>
      </c>
    </row>
    <row r="15" spans="1:4" x14ac:dyDescent="0.25">
      <c r="A15" s="6">
        <v>46274</v>
      </c>
      <c r="B15" s="4">
        <f t="shared" si="1"/>
        <v>130997.08099</v>
      </c>
      <c r="C15" s="4">
        <v>131369.77285000001</v>
      </c>
      <c r="D15" s="5">
        <f t="shared" si="0"/>
        <v>33542.267400000565</v>
      </c>
    </row>
    <row r="16" spans="1:4" x14ac:dyDescent="0.25">
      <c r="A16" s="6">
        <v>46275</v>
      </c>
      <c r="B16" s="4">
        <f t="shared" si="1"/>
        <v>131369.77285000001</v>
      </c>
      <c r="C16" s="4">
        <v>131725.11001999999</v>
      </c>
      <c r="D16" s="5">
        <f t="shared" si="0"/>
        <v>31980.345299998589</v>
      </c>
    </row>
    <row r="17" spans="1:4" x14ac:dyDescent="0.25">
      <c r="A17" s="6">
        <v>46276</v>
      </c>
      <c r="B17" s="4">
        <f t="shared" si="1"/>
        <v>131725.11001999999</v>
      </c>
      <c r="C17" s="4">
        <v>131927.01887</v>
      </c>
      <c r="D17" s="5">
        <f t="shared" si="0"/>
        <v>18171.796500000637</v>
      </c>
    </row>
    <row r="18" spans="1:4" x14ac:dyDescent="0.25">
      <c r="A18" s="6">
        <v>46277</v>
      </c>
      <c r="B18" s="4">
        <f t="shared" si="1"/>
        <v>131927.01887</v>
      </c>
      <c r="C18" s="4">
        <v>132004.12036999999</v>
      </c>
      <c r="D18" s="5">
        <f t="shared" si="0"/>
        <v>6939.134999999078</v>
      </c>
    </row>
    <row r="19" spans="1:4" x14ac:dyDescent="0.25">
      <c r="A19" s="6">
        <v>46278</v>
      </c>
      <c r="B19" s="4">
        <f t="shared" si="1"/>
        <v>132004.12036999999</v>
      </c>
      <c r="C19" s="4">
        <v>132098.45081000001</v>
      </c>
      <c r="D19" s="5">
        <f t="shared" si="0"/>
        <v>8489.7396000017761</v>
      </c>
    </row>
    <row r="20" spans="1:4" x14ac:dyDescent="0.25">
      <c r="A20" s="6">
        <v>46279</v>
      </c>
      <c r="B20" s="4">
        <f t="shared" si="1"/>
        <v>132098.45081000001</v>
      </c>
      <c r="C20" s="4">
        <v>132242.58955</v>
      </c>
      <c r="D20" s="5">
        <f t="shared" si="0"/>
        <v>12972.486599999538</v>
      </c>
    </row>
    <row r="21" spans="1:4" x14ac:dyDescent="0.25">
      <c r="A21" s="6">
        <v>46280</v>
      </c>
      <c r="B21" s="4">
        <f t="shared" si="1"/>
        <v>132242.58955</v>
      </c>
      <c r="C21" s="4">
        <v>132448.56789999999</v>
      </c>
      <c r="D21" s="5">
        <f t="shared" si="0"/>
        <v>18538.051499999128</v>
      </c>
    </row>
    <row r="22" spans="1:4" x14ac:dyDescent="0.25">
      <c r="A22" s="6">
        <v>46281</v>
      </c>
      <c r="B22" s="4">
        <f t="shared" si="1"/>
        <v>132448.56789999999</v>
      </c>
      <c r="C22" s="4">
        <v>132703.94380000001</v>
      </c>
      <c r="D22" s="5">
        <f t="shared" si="0"/>
        <v>22983.831000001228</v>
      </c>
    </row>
    <row r="23" spans="1:4" x14ac:dyDescent="0.25">
      <c r="A23" s="6">
        <v>46282</v>
      </c>
      <c r="B23" s="4">
        <f t="shared" si="1"/>
        <v>132703.94380000001</v>
      </c>
      <c r="C23" s="4">
        <v>132941.27033</v>
      </c>
      <c r="D23" s="5">
        <f t="shared" si="0"/>
        <v>21359.387699999206</v>
      </c>
    </row>
    <row r="24" spans="1:4" x14ac:dyDescent="0.25">
      <c r="A24" s="6">
        <v>46283</v>
      </c>
      <c r="B24" s="4">
        <f t="shared" si="1"/>
        <v>132941.27033</v>
      </c>
      <c r="C24" s="4">
        <v>133173.14541999999</v>
      </c>
      <c r="D24" s="5">
        <f t="shared" si="0"/>
        <v>20868.758099998813</v>
      </c>
    </row>
    <row r="25" spans="1:4" x14ac:dyDescent="0.25">
      <c r="A25" s="6">
        <v>46284</v>
      </c>
      <c r="B25" s="4">
        <f t="shared" si="1"/>
        <v>133173.14541999999</v>
      </c>
      <c r="C25" s="4">
        <v>133406.77022999999</v>
      </c>
      <c r="D25" s="5">
        <f t="shared" si="0"/>
        <v>21026.232900000759</v>
      </c>
    </row>
    <row r="26" spans="1:4" x14ac:dyDescent="0.25">
      <c r="A26" s="6">
        <v>46285</v>
      </c>
      <c r="B26" s="4">
        <f t="shared" si="1"/>
        <v>133406.77022999999</v>
      </c>
      <c r="C26" s="4">
        <v>133587.52679999999</v>
      </c>
      <c r="D26" s="5">
        <f t="shared" si="0"/>
        <v>16268.091299999796</v>
      </c>
    </row>
    <row r="27" spans="1:4" x14ac:dyDescent="0.25">
      <c r="A27" s="6">
        <v>46286</v>
      </c>
      <c r="B27" s="4">
        <f t="shared" si="1"/>
        <v>133587.52679999999</v>
      </c>
      <c r="C27" s="4">
        <v>133791.64327999999</v>
      </c>
      <c r="D27" s="5">
        <f t="shared" si="0"/>
        <v>18370.483199999726</v>
      </c>
    </row>
    <row r="28" spans="1:4" x14ac:dyDescent="0.25">
      <c r="A28" s="6">
        <v>46287</v>
      </c>
      <c r="B28" s="4">
        <f t="shared" si="1"/>
        <v>133791.64327999999</v>
      </c>
      <c r="C28" s="4">
        <v>133991.86780000001</v>
      </c>
      <c r="D28" s="5">
        <f t="shared" si="0"/>
        <v>18020.206800001615</v>
      </c>
    </row>
    <row r="29" spans="1:4" x14ac:dyDescent="0.25">
      <c r="A29" s="6">
        <v>46288</v>
      </c>
      <c r="B29" s="4">
        <f t="shared" si="1"/>
        <v>133991.86780000001</v>
      </c>
      <c r="C29" s="4">
        <v>134209.05413999999</v>
      </c>
      <c r="D29" s="5">
        <f t="shared" si="0"/>
        <v>19546.770599998708</v>
      </c>
    </row>
    <row r="30" spans="1:4" x14ac:dyDescent="0.25">
      <c r="A30" s="6">
        <v>46289</v>
      </c>
      <c r="B30" s="4">
        <f t="shared" si="1"/>
        <v>134209.05413999999</v>
      </c>
      <c r="C30" s="4">
        <v>134429.64030999999</v>
      </c>
      <c r="D30" s="5">
        <f t="shared" si="0"/>
        <v>19852.755299999553</v>
      </c>
    </row>
    <row r="31" spans="1:4" x14ac:dyDescent="0.25">
      <c r="A31" s="6">
        <v>46290</v>
      </c>
      <c r="B31" s="4">
        <f t="shared" si="1"/>
        <v>134429.64030999999</v>
      </c>
      <c r="C31" s="4">
        <v>134582.89371999999</v>
      </c>
      <c r="D31" s="5">
        <f t="shared" si="0"/>
        <v>13792.806900000433</v>
      </c>
    </row>
    <row r="32" spans="1:4" x14ac:dyDescent="0.25">
      <c r="A32" s="6">
        <v>46291</v>
      </c>
      <c r="B32" s="4">
        <f t="shared" si="1"/>
        <v>134582.89371999999</v>
      </c>
      <c r="C32" s="4">
        <v>134696.40604</v>
      </c>
      <c r="D32" s="5">
        <f t="shared" si="0"/>
        <v>10216.108800000802</v>
      </c>
    </row>
    <row r="33" spans="1:4" x14ac:dyDescent="0.25">
      <c r="A33" s="6">
        <v>46292</v>
      </c>
      <c r="B33" s="2">
        <f t="shared" si="1"/>
        <v>134696.40604</v>
      </c>
      <c r="C33" s="2">
        <v>134966.62925</v>
      </c>
      <c r="D33" s="3">
        <f t="shared" si="0"/>
        <v>24320.088899999682</v>
      </c>
    </row>
    <row r="34" spans="1:4" x14ac:dyDescent="0.25">
      <c r="A34" s="6">
        <v>46293</v>
      </c>
      <c r="B34" s="4">
        <v>134966.63</v>
      </c>
      <c r="C34" s="4">
        <v>135222.03</v>
      </c>
      <c r="D34" s="5">
        <v>22986</v>
      </c>
    </row>
    <row r="35" spans="1:4" x14ac:dyDescent="0.25">
      <c r="A35" s="6">
        <v>46294</v>
      </c>
      <c r="B35" s="4">
        <f t="shared" ref="B35:B36" si="2">C34</f>
        <v>135222.03</v>
      </c>
      <c r="C35" s="4">
        <v>135479.39924999999</v>
      </c>
      <c r="D35" s="5">
        <f t="shared" ref="D35:D36" si="3">(C35-B35)*90</f>
        <v>23163.232499998994</v>
      </c>
    </row>
    <row r="36" spans="1:4" ht="15.75" thickBot="1" x14ac:dyDescent="0.3">
      <c r="A36" s="7">
        <v>46295</v>
      </c>
      <c r="B36" s="4">
        <f t="shared" si="2"/>
        <v>135479.39924999999</v>
      </c>
      <c r="C36" s="4">
        <v>135723.55767000001</v>
      </c>
      <c r="D36" s="5">
        <f t="shared" si="3"/>
        <v>21974.257800001942</v>
      </c>
    </row>
    <row r="37" spans="1:4" ht="15.75" thickBot="1" x14ac:dyDescent="0.3">
      <c r="A37" s="9" t="s">
        <v>5</v>
      </c>
      <c r="B37" s="10"/>
      <c r="C37" s="11"/>
      <c r="D37" s="8">
        <f>SUM(D7:D36)</f>
        <v>596327.53050000011</v>
      </c>
    </row>
  </sheetData>
  <mergeCells count="8">
    <mergeCell ref="A37:C37"/>
    <mergeCell ref="A1:D1"/>
    <mergeCell ref="A2:D2"/>
    <mergeCell ref="B3:D3"/>
    <mergeCell ref="A4:A6"/>
    <mergeCell ref="B4:B6"/>
    <mergeCell ref="C4:C6"/>
    <mergeCell ref="D4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</dc:creator>
  <cp:lastModifiedBy>Sandeep</cp:lastModifiedBy>
  <dcterms:created xsi:type="dcterms:W3CDTF">2025-12-01T05:46:12Z</dcterms:created>
  <dcterms:modified xsi:type="dcterms:W3CDTF">2026-09-30T12:52:00Z</dcterms:modified>
</cp:coreProperties>
</file>
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\Desktop\"/>
    </mc:Choice>
  </mc:AlternateContent>
  <xr:revisionPtr revIDLastSave="0" documentId="13_ncr:1_{67ACAECD-F11C-4B97-959A-3E28793DF973}" xr6:coauthVersionLast="36" xr6:coauthVersionMax="36" xr10:uidLastSave="{00000000-0000-0000-0000-000000000000}"/>
  <bookViews>
    <workbookView xWindow="0" yWindow="0" windowWidth="20490" windowHeight="7545" xr2:uid="{03753B10-811C-4F7D-9A69-BD7EDEC6A2F6}"/>
  </bookViews>
  <sheets>
    <sheet name="Aug-26" sheetId="9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7" i="9" l="1"/>
  <c r="B36" i="9"/>
  <c r="D37" i="9"/>
  <c r="D36" i="9" l="1"/>
  <c r="B35" i="9" l="1"/>
  <c r="D35" i="9" s="1"/>
  <c r="D34" i="9" l="1"/>
  <c r="B34" i="9"/>
  <c r="B33" i="9" l="1"/>
  <c r="D33" i="9" s="1"/>
  <c r="B32" i="9" l="1"/>
  <c r="D32" i="9" s="1"/>
  <c r="B31" i="9" l="1"/>
  <c r="D31" i="9" s="1"/>
  <c r="B30" i="9" l="1"/>
  <c r="D30" i="9" s="1"/>
  <c r="B29" i="9" l="1"/>
  <c r="D29" i="9" s="1"/>
  <c r="B28" i="9" l="1"/>
  <c r="D28" i="9" s="1"/>
  <c r="D27" i="9" l="1"/>
  <c r="B26" i="9" l="1"/>
  <c r="D26" i="9" s="1"/>
  <c r="B25" i="9" l="1"/>
  <c r="D25" i="9" s="1"/>
  <c r="B24" i="9" l="1"/>
  <c r="D24" i="9" s="1"/>
  <c r="B23" i="9" l="1"/>
  <c r="D23" i="9" s="1"/>
  <c r="B22" i="9" l="1"/>
  <c r="D22" i="9" s="1"/>
  <c r="B21" i="9" l="1"/>
  <c r="D21" i="9" s="1"/>
  <c r="B20" i="9" l="1"/>
  <c r="D20" i="9" s="1"/>
  <c r="B19" i="9" l="1"/>
  <c r="D19" i="9" s="1"/>
  <c r="B18" i="9" l="1"/>
  <c r="D18" i="9" s="1"/>
  <c r="B17" i="9" l="1"/>
  <c r="D17" i="9" s="1"/>
  <c r="B16" i="9" l="1"/>
  <c r="D16" i="9" s="1"/>
  <c r="B15" i="9" l="1"/>
  <c r="D15" i="9" s="1"/>
  <c r="B14" i="9" l="1"/>
  <c r="D14" i="9" s="1"/>
  <c r="B13" i="9" l="1"/>
  <c r="D13" i="9" s="1"/>
  <c r="B12" i="9" l="1"/>
  <c r="D12" i="9" s="1"/>
  <c r="B11" i="9" l="1"/>
  <c r="D11" i="9" s="1"/>
  <c r="B10" i="9" l="1"/>
  <c r="D10" i="9" s="1"/>
  <c r="B9" i="9" l="1"/>
  <c r="D9" i="9" s="1"/>
  <c r="B8" i="9" l="1"/>
  <c r="D8" i="9" s="1"/>
  <c r="D7" i="9" l="1"/>
  <c r="D38" i="9" l="1"/>
</calcChain>
</file>

<file path=xl/sharedStrings.xml><?xml version="1.0" encoding="utf-8"?>
<sst xmlns="http://schemas.openxmlformats.org/spreadsheetml/2006/main" count="8" uniqueCount="8">
  <si>
    <t>Date</t>
  </si>
  <si>
    <t>Export</t>
  </si>
  <si>
    <t xml:space="preserve">IMR
(MWH)
</t>
  </si>
  <si>
    <t xml:space="preserve">FMR
(MWH)
</t>
  </si>
  <si>
    <t xml:space="preserve">DIFFERENCE
(KWH)
</t>
  </si>
  <si>
    <t>TOTAL</t>
  </si>
  <si>
    <t>ABT Meter</t>
  </si>
  <si>
    <t>7.5 MWp Deoli Maharastra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</si>
</sst>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/>
    </xf>
    <xf numFmtId="2" fontId="2" fillId="0" borderId="7" xfId="0" applyNumberFormat="1" applyFont="1" applyBorder="1" applyAlignment="1">
      <alignment horizontal="center" vertical="center"/>
    </xf>
    <xf numFmtId="1" fontId="2" fillId="4" borderId="7" xfId="0" applyNumberFormat="1" applyFont="1" applyFill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1" fontId="2" fillId="4" borderId="14" xfId="0" applyNumberFormat="1" applyFont="1" applyFill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9E415-091A-4A4D-89AD-D4C9E4AEF613}">
  <dimension ref="A1:D38"/>
  <sheetViews>
    <sheetView tabSelected="1" workbookViewId="0">
      <pane ySplit="6" topLeftCell="A23" activePane="bottomLeft" state="frozen"/>
      <selection pane="bottomLeft" activeCell="E33" sqref="E33"/>
    </sheetView>
  </sheetViews>
  <sheetFormatPr defaultRowHeight="15" x14ac:dyDescent="0.25"/>
  <cols>
    <col min="2" max="3" width="9.42578125" bestFit="1" customWidth="1"/>
    <col min="4" max="4" width="13.7109375" customWidth="1"/>
  </cols>
  <sheetData>
    <row r="1" spans="1:4" ht="16.5" thickBot="1" x14ac:dyDescent="0.3">
      <c r="A1" s="12" t="s">
        <v>7</v>
      </c>
      <c r="B1" s="13"/>
      <c r="C1" s="13"/>
      <c r="D1" s="14"/>
    </row>
    <row r="2" spans="1:4" ht="19.5" thickBot="1" x14ac:dyDescent="0.3">
      <c r="A2" s="15" t="s">
        <v>6</v>
      </c>
      <c r="B2" s="16"/>
      <c r="C2" s="16"/>
      <c r="D2" s="17"/>
    </row>
    <row r="3" spans="1:4" ht="15.75" thickBot="1" x14ac:dyDescent="0.3">
      <c r="A3" s="1"/>
      <c r="B3" s="18" t="s">
        <v>1</v>
      </c>
      <c r="C3" s="18"/>
      <c r="D3" s="18"/>
    </row>
    <row r="4" spans="1:4" x14ac:dyDescent="0.25">
      <c r="A4" s="19" t="s">
        <v>0</v>
      </c>
      <c r="B4" s="22" t="s">
        <v>2</v>
      </c>
      <c r="C4" s="22" t="s">
        <v>3</v>
      </c>
      <c r="D4" s="25" t="s">
        <v>4</v>
      </c>
    </row>
    <row r="5" spans="1:4" x14ac:dyDescent="0.25">
      <c r="A5" s="20"/>
      <c r="B5" s="23"/>
      <c r="C5" s="23"/>
      <c r="D5" s="26"/>
    </row>
    <row r="6" spans="1:4" x14ac:dyDescent="0.25">
      <c r="A6" s="21"/>
      <c r="B6" s="24"/>
      <c r="C6" s="24"/>
      <c r="D6" s="27"/>
    </row>
    <row r="7" spans="1:4" x14ac:dyDescent="0.25">
      <c r="A7" s="6">
        <v>46235</v>
      </c>
      <c r="B7" s="4">
        <v>122557.78875000001</v>
      </c>
      <c r="C7" s="4">
        <v>122705.09353</v>
      </c>
      <c r="D7" s="5">
        <f t="shared" ref="D7:D37" si="0">(C7-B7)*90</f>
        <v>13257.430199999217</v>
      </c>
    </row>
    <row r="8" spans="1:4" x14ac:dyDescent="0.25">
      <c r="A8" s="6">
        <v>46236</v>
      </c>
      <c r="B8" s="4">
        <f>C7</f>
        <v>122705.09353</v>
      </c>
      <c r="C8" s="4">
        <v>123138.99511</v>
      </c>
      <c r="D8" s="5">
        <f t="shared" si="0"/>
        <v>39051.142200000468</v>
      </c>
    </row>
    <row r="9" spans="1:4" x14ac:dyDescent="0.25">
      <c r="A9" s="6">
        <v>46237</v>
      </c>
      <c r="B9" s="4">
        <f>C8</f>
        <v>123138.99511</v>
      </c>
      <c r="C9" s="4">
        <v>123518.4194</v>
      </c>
      <c r="D9" s="5">
        <f t="shared" si="0"/>
        <v>34148.186099999584</v>
      </c>
    </row>
    <row r="10" spans="1:4" x14ac:dyDescent="0.25">
      <c r="A10" s="6">
        <v>46238</v>
      </c>
      <c r="B10" s="4">
        <f>C9</f>
        <v>123518.4194</v>
      </c>
      <c r="C10" s="4">
        <v>123792.07303</v>
      </c>
      <c r="D10" s="5">
        <f t="shared" si="0"/>
        <v>24628.826700000063</v>
      </c>
    </row>
    <row r="11" spans="1:4" x14ac:dyDescent="0.25">
      <c r="A11" s="6">
        <v>46239</v>
      </c>
      <c r="B11" s="4">
        <f>C10</f>
        <v>123792.07303</v>
      </c>
      <c r="C11" s="4">
        <v>124035.00698999999</v>
      </c>
      <c r="D11" s="5">
        <f t="shared" si="0"/>
        <v>21864.056399999536</v>
      </c>
    </row>
    <row r="12" spans="1:4" x14ac:dyDescent="0.25">
      <c r="A12" s="6">
        <v>46240</v>
      </c>
      <c r="B12" s="4">
        <f>C11</f>
        <v>124035.00698999999</v>
      </c>
      <c r="C12" s="4">
        <v>124324.55157</v>
      </c>
      <c r="D12" s="5">
        <f t="shared" si="0"/>
        <v>26059.012200000143</v>
      </c>
    </row>
    <row r="13" spans="1:4" x14ac:dyDescent="0.25">
      <c r="A13" s="6">
        <v>46241</v>
      </c>
      <c r="B13" s="4">
        <f t="shared" ref="B13:B26" si="1">C12</f>
        <v>124324.55157</v>
      </c>
      <c r="C13" s="4">
        <v>124516.03397</v>
      </c>
      <c r="D13" s="5">
        <f t="shared" si="0"/>
        <v>17233.416000000725</v>
      </c>
    </row>
    <row r="14" spans="1:4" x14ac:dyDescent="0.25">
      <c r="A14" s="6">
        <v>46242</v>
      </c>
      <c r="B14" s="4">
        <f t="shared" si="1"/>
        <v>124516.03397</v>
      </c>
      <c r="C14" s="4">
        <v>124750.67722</v>
      </c>
      <c r="D14" s="5">
        <f t="shared" si="0"/>
        <v>21117.892499999434</v>
      </c>
    </row>
    <row r="15" spans="1:4" x14ac:dyDescent="0.25">
      <c r="A15" s="6">
        <v>46243</v>
      </c>
      <c r="B15" s="4">
        <f t="shared" si="1"/>
        <v>124750.67722</v>
      </c>
      <c r="C15" s="4">
        <v>124925.66469999999</v>
      </c>
      <c r="D15" s="5">
        <f t="shared" si="0"/>
        <v>15748.873199999653</v>
      </c>
    </row>
    <row r="16" spans="1:4" x14ac:dyDescent="0.25">
      <c r="A16" s="6">
        <v>46244</v>
      </c>
      <c r="B16" s="4">
        <f t="shared" si="1"/>
        <v>124925.66469999999</v>
      </c>
      <c r="C16" s="4">
        <v>125220.95023</v>
      </c>
      <c r="D16" s="5">
        <f t="shared" si="0"/>
        <v>26575.697700000746</v>
      </c>
    </row>
    <row r="17" spans="1:4" x14ac:dyDescent="0.25">
      <c r="A17" s="6">
        <v>46245</v>
      </c>
      <c r="B17" s="4">
        <f t="shared" si="1"/>
        <v>125220.95023</v>
      </c>
      <c r="C17" s="4">
        <v>125481.08675</v>
      </c>
      <c r="D17" s="5">
        <f t="shared" si="0"/>
        <v>23412.286800000002</v>
      </c>
    </row>
    <row r="18" spans="1:4" x14ac:dyDescent="0.25">
      <c r="A18" s="6">
        <v>46246</v>
      </c>
      <c r="B18" s="4">
        <f t="shared" si="1"/>
        <v>125481.08675</v>
      </c>
      <c r="C18" s="4">
        <v>125660.38348999999</v>
      </c>
      <c r="D18" s="5">
        <f t="shared" si="0"/>
        <v>16136.706599999161</v>
      </c>
    </row>
    <row r="19" spans="1:4" x14ac:dyDescent="0.25">
      <c r="A19" s="6">
        <v>46247</v>
      </c>
      <c r="B19" s="4">
        <f t="shared" si="1"/>
        <v>125660.38348999999</v>
      </c>
      <c r="C19" s="4">
        <v>125937.30451</v>
      </c>
      <c r="D19" s="5">
        <f t="shared" si="0"/>
        <v>24922.891800000798</v>
      </c>
    </row>
    <row r="20" spans="1:4" x14ac:dyDescent="0.25">
      <c r="A20" s="6">
        <v>46248</v>
      </c>
      <c r="B20" s="4">
        <f t="shared" si="1"/>
        <v>125937.30451</v>
      </c>
      <c r="C20" s="4">
        <v>126167.79326000001</v>
      </c>
      <c r="D20" s="5">
        <f t="shared" si="0"/>
        <v>20743.987500000367</v>
      </c>
    </row>
    <row r="21" spans="1:4" x14ac:dyDescent="0.25">
      <c r="A21" s="6">
        <v>46249</v>
      </c>
      <c r="B21" s="4">
        <f t="shared" si="1"/>
        <v>126167.79326000001</v>
      </c>
      <c r="C21" s="4">
        <v>126302.77368</v>
      </c>
      <c r="D21" s="5">
        <f t="shared" si="0"/>
        <v>12148.237799999333</v>
      </c>
    </row>
    <row r="22" spans="1:4" x14ac:dyDescent="0.25">
      <c r="A22" s="6">
        <v>46250</v>
      </c>
      <c r="B22" s="4">
        <f t="shared" si="1"/>
        <v>126302.77368</v>
      </c>
      <c r="C22" s="4">
        <v>126427.08839</v>
      </c>
      <c r="D22" s="5">
        <f t="shared" si="0"/>
        <v>11188.323900000541</v>
      </c>
    </row>
    <row r="23" spans="1:4" x14ac:dyDescent="0.25">
      <c r="A23" s="6">
        <v>46251</v>
      </c>
      <c r="B23" s="4">
        <f t="shared" si="1"/>
        <v>126427.08839</v>
      </c>
      <c r="C23" s="4">
        <v>126660.85821000001</v>
      </c>
      <c r="D23" s="5">
        <f t="shared" si="0"/>
        <v>21039.283800000121</v>
      </c>
    </row>
    <row r="24" spans="1:4" x14ac:dyDescent="0.25">
      <c r="A24" s="6">
        <v>46252</v>
      </c>
      <c r="B24" s="4">
        <f t="shared" si="1"/>
        <v>126660.85821000001</v>
      </c>
      <c r="C24" s="4">
        <v>126839.93025999999</v>
      </c>
      <c r="D24" s="5">
        <f t="shared" si="0"/>
        <v>16116.484499998915</v>
      </c>
    </row>
    <row r="25" spans="1:4" x14ac:dyDescent="0.25">
      <c r="A25" s="6">
        <v>46253</v>
      </c>
      <c r="B25" s="4">
        <f t="shared" si="1"/>
        <v>126839.93025999999</v>
      </c>
      <c r="C25" s="4">
        <v>126979.97999000001</v>
      </c>
      <c r="D25" s="5">
        <f t="shared" si="0"/>
        <v>12604.475700001203</v>
      </c>
    </row>
    <row r="26" spans="1:4" x14ac:dyDescent="0.25">
      <c r="A26" s="6">
        <v>46254</v>
      </c>
      <c r="B26" s="2">
        <f t="shared" si="1"/>
        <v>126979.97999000001</v>
      </c>
      <c r="C26" s="2">
        <v>127249.22942</v>
      </c>
      <c r="D26" s="3">
        <f t="shared" si="0"/>
        <v>24232.448699999659</v>
      </c>
    </row>
    <row r="27" spans="1:4" x14ac:dyDescent="0.25">
      <c r="A27" s="6">
        <v>46255</v>
      </c>
      <c r="B27" s="4">
        <v>127249.22942</v>
      </c>
      <c r="C27" s="4">
        <v>127514.3437</v>
      </c>
      <c r="D27" s="5">
        <f t="shared" si="0"/>
        <v>23860.285199999489</v>
      </c>
    </row>
    <row r="28" spans="1:4" x14ac:dyDescent="0.25">
      <c r="A28" s="8">
        <v>46256</v>
      </c>
      <c r="B28" s="4">
        <f t="shared" ref="B28:B37" si="2">C27</f>
        <v>127514.3437</v>
      </c>
      <c r="C28" s="4">
        <v>127627.69351</v>
      </c>
      <c r="D28" s="5">
        <f t="shared" si="0"/>
        <v>10201.482899999974</v>
      </c>
    </row>
    <row r="29" spans="1:4" x14ac:dyDescent="0.25">
      <c r="A29" s="8">
        <v>46257</v>
      </c>
      <c r="B29" s="4">
        <f t="shared" si="2"/>
        <v>127627.69351</v>
      </c>
      <c r="C29" s="4">
        <v>127726.57975</v>
      </c>
      <c r="D29" s="5">
        <f t="shared" si="0"/>
        <v>8899.7616000006383</v>
      </c>
    </row>
    <row r="30" spans="1:4" x14ac:dyDescent="0.25">
      <c r="A30" s="6">
        <v>46258</v>
      </c>
      <c r="B30" s="4">
        <f t="shared" si="2"/>
        <v>127726.57975</v>
      </c>
      <c r="C30" s="4">
        <v>127872.84206</v>
      </c>
      <c r="D30" s="5">
        <f t="shared" si="0"/>
        <v>13163.607899999188</v>
      </c>
    </row>
    <row r="31" spans="1:4" x14ac:dyDescent="0.25">
      <c r="A31" s="6">
        <v>46259</v>
      </c>
      <c r="B31" s="4">
        <f t="shared" si="2"/>
        <v>127872.84206</v>
      </c>
      <c r="C31" s="4">
        <v>128038.89502</v>
      </c>
      <c r="D31" s="5">
        <f t="shared" si="0"/>
        <v>14944.76640000008</v>
      </c>
    </row>
    <row r="32" spans="1:4" x14ac:dyDescent="0.25">
      <c r="A32" s="6">
        <v>46260</v>
      </c>
      <c r="B32" s="4">
        <f t="shared" si="2"/>
        <v>128038.89502</v>
      </c>
      <c r="C32" s="4">
        <v>128166.57124999999</v>
      </c>
      <c r="D32" s="5">
        <f t="shared" si="0"/>
        <v>11490.860699999757</v>
      </c>
    </row>
    <row r="33" spans="1:4" x14ac:dyDescent="0.25">
      <c r="A33" s="6">
        <v>46261</v>
      </c>
      <c r="B33" s="4">
        <f t="shared" si="2"/>
        <v>128166.57124999999</v>
      </c>
      <c r="C33" s="4">
        <v>128375.33079000001</v>
      </c>
      <c r="D33" s="5">
        <f t="shared" si="0"/>
        <v>18788.358600001229</v>
      </c>
    </row>
    <row r="34" spans="1:4" x14ac:dyDescent="0.25">
      <c r="A34" s="6">
        <v>46262</v>
      </c>
      <c r="B34" s="4">
        <f t="shared" si="2"/>
        <v>128375.33079000001</v>
      </c>
      <c r="C34" s="4">
        <v>128624.80714</v>
      </c>
      <c r="D34" s="5">
        <f t="shared" si="0"/>
        <v>22452.871499999746</v>
      </c>
    </row>
    <row r="35" spans="1:4" x14ac:dyDescent="0.25">
      <c r="A35" s="6">
        <v>46263</v>
      </c>
      <c r="B35" s="4">
        <f t="shared" si="2"/>
        <v>128624.80714</v>
      </c>
      <c r="C35" s="4">
        <v>128680.71153</v>
      </c>
      <c r="D35" s="5">
        <f t="shared" si="0"/>
        <v>5031.395099999645</v>
      </c>
    </row>
    <row r="36" spans="1:4" x14ac:dyDescent="0.25">
      <c r="A36" s="6">
        <v>46264</v>
      </c>
      <c r="B36" s="4">
        <f>C35</f>
        <v>128680.71153</v>
      </c>
      <c r="C36" s="4">
        <v>128862.33366</v>
      </c>
      <c r="D36" s="5">
        <f t="shared" si="0"/>
        <v>16345.991700000304</v>
      </c>
    </row>
    <row r="37" spans="1:4" ht="15.75" thickBot="1" x14ac:dyDescent="0.3">
      <c r="A37" s="6">
        <v>46265</v>
      </c>
      <c r="B37" s="2">
        <f>C36</f>
        <v>128862.33366</v>
      </c>
      <c r="C37" s="2">
        <v>129097.69547000001</v>
      </c>
      <c r="D37" s="3">
        <f t="shared" si="0"/>
        <v>21182.562900000194</v>
      </c>
    </row>
    <row r="38" spans="1:4" ht="15.75" thickBot="1" x14ac:dyDescent="0.3">
      <c r="A38" s="9" t="s">
        <v>5</v>
      </c>
      <c r="B38" s="10"/>
      <c r="C38" s="11"/>
      <c r="D38" s="7">
        <f>SUM(D7:D37)</f>
        <v>588591.60479999986</v>
      </c>
    </row>
  </sheetData>
  <mergeCells count="8">
    <mergeCell ref="A38:C38"/>
    <mergeCell ref="A1:D1"/>
    <mergeCell ref="A2:D2"/>
    <mergeCell ref="B3:D3"/>
    <mergeCell ref="A4:A6"/>
    <mergeCell ref="B4:B6"/>
    <mergeCell ref="C4:C6"/>
    <mergeCell ref="D4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</dc:creator>
  <cp:lastModifiedBy>Sandeep</cp:lastModifiedBy>
  <dcterms:created xsi:type="dcterms:W3CDTF">2025-12-01T05:46:12Z</dcterms:created>
  <dcterms:modified xsi:type="dcterms:W3CDTF">2026-08-31T13:04:21Z</dcterms:modified>
</cp:coreProperties>
</file>
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D7B47EF2-4C86-4BCA-ACB1-75592090AD60}" xr6:coauthVersionLast="36" xr6:coauthVersionMax="36" xr10:uidLastSave="{00000000-0000-0000-0000-000000000000}"/>
  <bookViews>
    <workbookView xWindow="0" yWindow="0" windowWidth="20490" windowHeight="7545" xr2:uid="{03753B10-811C-4F7D-9A69-BD7EDEC6A2F6}"/>
  </bookViews>
  <sheets>
    <sheet name="July-26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9" l="1"/>
  <c r="D37" i="9" s="1"/>
  <c r="B36" i="9" l="1"/>
  <c r="D36" i="9" s="1"/>
  <c r="B35" i="9" l="1"/>
  <c r="D35" i="9" s="1"/>
  <c r="B34" i="9" l="1"/>
  <c r="D34" i="9" s="1"/>
  <c r="D33" i="9" l="1"/>
  <c r="B33" i="9"/>
  <c r="B32" i="9" l="1"/>
  <c r="D32" i="9" s="1"/>
  <c r="B31" i="9" l="1"/>
  <c r="D31" i="9" s="1"/>
  <c r="B30" i="9" l="1"/>
  <c r="D30" i="9" s="1"/>
  <c r="B29" i="9" l="1"/>
  <c r="D29" i="9" s="1"/>
  <c r="B28" i="9" l="1"/>
  <c r="D28" i="9" s="1"/>
  <c r="B27" i="9" l="1"/>
  <c r="D27" i="9" s="1"/>
  <c r="B14" i="9" l="1"/>
  <c r="B26" i="9" l="1"/>
  <c r="D26" i="9" s="1"/>
  <c r="B25" i="9"/>
  <c r="D25" i="9" s="1"/>
  <c r="D24" i="9"/>
  <c r="B24" i="9"/>
  <c r="B23" i="9"/>
  <c r="D23" i="9" s="1"/>
  <c r="B22" i="9"/>
  <c r="D22" i="9" s="1"/>
  <c r="B21" i="9"/>
  <c r="D21" i="9" s="1"/>
  <c r="B20" i="9"/>
  <c r="D20" i="9" s="1"/>
  <c r="B19" i="9"/>
  <c r="D19" i="9" s="1"/>
  <c r="B18" i="9"/>
  <c r="D18" i="9" s="1"/>
  <c r="B17" i="9"/>
  <c r="D17" i="9" s="1"/>
  <c r="B16" i="9"/>
  <c r="D16" i="9" s="1"/>
  <c r="B15" i="9"/>
  <c r="D15" i="9" s="1"/>
  <c r="D14" i="9"/>
  <c r="B13" i="9"/>
  <c r="D13" i="9" s="1"/>
  <c r="B12" i="9"/>
  <c r="D12" i="9" s="1"/>
  <c r="B11" i="9"/>
  <c r="D11" i="9" s="1"/>
  <c r="B10" i="9"/>
  <c r="D10" i="9" s="1"/>
  <c r="B9" i="9"/>
  <c r="D9" i="9" s="1"/>
  <c r="B8" i="9"/>
  <c r="D8" i="9" s="1"/>
  <c r="D7" i="9"/>
  <c r="D38" i="9" l="1"/>
</calcChain>
</file>

<file path=xl/sharedStrings.xml><?xml version="1.0" encoding="utf-8"?>
<sst xmlns="http://schemas.openxmlformats.org/spreadsheetml/2006/main" count="9" uniqueCount="9">
  <si>
    <t>Date</t>
  </si>
  <si>
    <t>Export</t>
  </si>
  <si>
    <t xml:space="preserve">IMR
(MWH)
</t>
  </si>
  <si>
    <t xml:space="preserve">FMR
(MWH)
</t>
  </si>
  <si>
    <t xml:space="preserve">DIFFERENCE
(KWH)
</t>
  </si>
  <si>
    <t>TOTAL</t>
  </si>
  <si>
    <t>ABT Meter</t>
  </si>
  <si>
    <t>7.5 MWp Deoli Maharastra Site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</si>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</sst>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2" fontId="2" fillId="0" borderId="7" xfId="0" applyNumberFormat="1" applyFont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0" fillId="7" borderId="7" xfId="0" applyFill="1" applyBorder="1"/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E415-091A-4A4D-89AD-D4C9E4AEF613}">
  <dimension ref="A1:E38"/>
  <sheetViews>
    <sheetView tabSelected="1" workbookViewId="0">
      <pane ySplit="6" topLeftCell="A23" activePane="bottomLeft" state="frozen"/>
      <selection pane="bottomLeft" activeCell="F35" sqref="F35"/>
    </sheetView>
  </sheetViews>
  <sheetFormatPr defaultRowHeight="15" x14ac:dyDescent="0.25"/>
  <cols>
    <col min="2" max="3" width="9.42578125" bestFit="1" customWidth="1"/>
    <col min="4" max="4" width="13.7109375" customWidth="1"/>
    <col min="5" max="5" width="11" bestFit="1" customWidth="1"/>
  </cols>
  <sheetData>
    <row r="1" spans="1:5" ht="16.5" thickBot="1" x14ac:dyDescent="0.3">
      <c r="A1" s="12" t="s">
        <v>7</v>
      </c>
      <c r="B1" s="13"/>
      <c r="C1" s="13"/>
      <c r="D1" s="14"/>
    </row>
    <row r="2" spans="1:5" ht="19.5" thickBot="1" x14ac:dyDescent="0.3">
      <c r="A2" s="15" t="s">
        <v>6</v>
      </c>
      <c r="B2" s="16"/>
      <c r="C2" s="16"/>
      <c r="D2" s="17"/>
    </row>
    <row r="3" spans="1:5" ht="15.75" thickBot="1" x14ac:dyDescent="0.3">
      <c r="A3" s="1"/>
      <c r="B3" s="18" t="s">
        <v>1</v>
      </c>
      <c r="C3" s="18"/>
      <c r="D3" s="18"/>
    </row>
    <row r="4" spans="1:5" x14ac:dyDescent="0.25">
      <c r="A4" s="19" t="s">
        <v>0</v>
      </c>
      <c r="B4" s="22" t="s">
        <v>2</v>
      </c>
      <c r="C4" s="22" t="s">
        <v>3</v>
      </c>
      <c r="D4" s="25" t="s">
        <v>4</v>
      </c>
    </row>
    <row r="5" spans="1:5" x14ac:dyDescent="0.25">
      <c r="A5" s="20"/>
      <c r="B5" s="23"/>
      <c r="C5" s="23"/>
      <c r="D5" s="26"/>
    </row>
    <row r="6" spans="1:5" x14ac:dyDescent="0.25">
      <c r="A6" s="21"/>
      <c r="B6" s="24"/>
      <c r="C6" s="24"/>
      <c r="D6" s="27"/>
    </row>
    <row r="7" spans="1:5" x14ac:dyDescent="0.25">
      <c r="A7" s="6">
        <v>46204</v>
      </c>
      <c r="B7" s="2">
        <v>113821.10803</v>
      </c>
      <c r="C7" s="2">
        <v>114204.17495</v>
      </c>
      <c r="D7" s="3">
        <f t="shared" ref="D7:D37" si="0">(C7-B7)*90</f>
        <v>34476.022799999773</v>
      </c>
    </row>
    <row r="8" spans="1:5" x14ac:dyDescent="0.25">
      <c r="A8" s="6">
        <v>46205</v>
      </c>
      <c r="B8" s="4">
        <f>C7</f>
        <v>114204.17495</v>
      </c>
      <c r="C8" s="4">
        <v>114467.04016</v>
      </c>
      <c r="D8" s="5">
        <f t="shared" si="0"/>
        <v>23657.868900000321</v>
      </c>
    </row>
    <row r="9" spans="1:5" x14ac:dyDescent="0.25">
      <c r="A9" s="6">
        <v>46206</v>
      </c>
      <c r="B9" s="4">
        <f>C8</f>
        <v>114467.04016</v>
      </c>
      <c r="C9" s="4">
        <v>114664.11184</v>
      </c>
      <c r="D9" s="5">
        <f t="shared" si="0"/>
        <v>17736.451199999428</v>
      </c>
    </row>
    <row r="10" spans="1:5" x14ac:dyDescent="0.25">
      <c r="A10" s="6">
        <v>46207</v>
      </c>
      <c r="B10" s="4">
        <f>C9</f>
        <v>114664.11184</v>
      </c>
      <c r="C10" s="4">
        <v>114944.29096</v>
      </c>
      <c r="D10" s="5">
        <f t="shared" si="0"/>
        <v>25216.120800000062</v>
      </c>
    </row>
    <row r="11" spans="1:5" x14ac:dyDescent="0.25">
      <c r="A11" s="6">
        <v>46208</v>
      </c>
      <c r="B11" s="4">
        <f>C10</f>
        <v>114944.29096</v>
      </c>
      <c r="C11" s="4">
        <v>115150.50064</v>
      </c>
      <c r="D11" s="5">
        <f t="shared" si="0"/>
        <v>18558.871199999994</v>
      </c>
    </row>
    <row r="12" spans="1:5" x14ac:dyDescent="0.25">
      <c r="A12" s="6">
        <v>46209</v>
      </c>
      <c r="B12" s="4">
        <f>C11</f>
        <v>115150.50064</v>
      </c>
      <c r="C12" s="4">
        <v>115551.05064</v>
      </c>
      <c r="D12" s="5">
        <f t="shared" si="0"/>
        <v>36049.500000000262</v>
      </c>
    </row>
    <row r="13" spans="1:5" x14ac:dyDescent="0.25">
      <c r="A13" s="6">
        <v>46210</v>
      </c>
      <c r="B13" s="4">
        <f t="shared" ref="B13:B37" si="1">C12</f>
        <v>115551.05064</v>
      </c>
      <c r="C13" s="4">
        <v>115729.50416</v>
      </c>
      <c r="D13" s="5">
        <f t="shared" si="0"/>
        <v>16060.816799999593</v>
      </c>
    </row>
    <row r="14" spans="1:5" x14ac:dyDescent="0.25">
      <c r="A14" s="6">
        <v>46211</v>
      </c>
      <c r="B14" s="4">
        <f t="shared" si="1"/>
        <v>115729.50416</v>
      </c>
      <c r="C14" s="4">
        <v>115729.50416</v>
      </c>
      <c r="D14" s="5">
        <f t="shared" si="0"/>
        <v>0</v>
      </c>
      <c r="E14" s="8" t="s">
        <v>8</v>
      </c>
    </row>
    <row r="15" spans="1:5" x14ac:dyDescent="0.25">
      <c r="A15" s="6">
        <v>46212</v>
      </c>
      <c r="B15" s="4">
        <f t="shared" si="1"/>
        <v>115729.50416</v>
      </c>
      <c r="C15" s="4">
        <v>115938.68416</v>
      </c>
      <c r="D15" s="5">
        <f t="shared" si="0"/>
        <v>18826.200000000681</v>
      </c>
    </row>
    <row r="16" spans="1:5" x14ac:dyDescent="0.25">
      <c r="A16" s="6">
        <v>46213</v>
      </c>
      <c r="B16" s="4">
        <f t="shared" si="1"/>
        <v>115938.68416</v>
      </c>
      <c r="C16" s="4">
        <v>116434.92625999999</v>
      </c>
      <c r="D16" s="5">
        <f t="shared" si="0"/>
        <v>44661.788999998971</v>
      </c>
    </row>
    <row r="17" spans="1:4" x14ac:dyDescent="0.25">
      <c r="A17" s="6">
        <v>46214</v>
      </c>
      <c r="B17" s="4">
        <f t="shared" si="1"/>
        <v>116434.92625999999</v>
      </c>
      <c r="C17" s="4">
        <v>116752.98052</v>
      </c>
      <c r="D17" s="5">
        <f t="shared" si="0"/>
        <v>28624.883400000399</v>
      </c>
    </row>
    <row r="18" spans="1:4" x14ac:dyDescent="0.25">
      <c r="A18" s="6">
        <v>46215</v>
      </c>
      <c r="B18" s="4">
        <f t="shared" si="1"/>
        <v>116752.98052</v>
      </c>
      <c r="C18" s="4">
        <v>117136.06384</v>
      </c>
      <c r="D18" s="5">
        <f t="shared" si="0"/>
        <v>34477.498800000467</v>
      </c>
    </row>
    <row r="19" spans="1:4" x14ac:dyDescent="0.25">
      <c r="A19" s="6">
        <v>46216</v>
      </c>
      <c r="B19" s="4">
        <f t="shared" si="1"/>
        <v>117136.06384</v>
      </c>
      <c r="C19" s="4">
        <v>117599.73119000001</v>
      </c>
      <c r="D19" s="5">
        <f t="shared" si="0"/>
        <v>41730.061500000302</v>
      </c>
    </row>
    <row r="20" spans="1:4" x14ac:dyDescent="0.25">
      <c r="A20" s="6">
        <v>46217</v>
      </c>
      <c r="B20" s="4">
        <f t="shared" si="1"/>
        <v>117599.73119000001</v>
      </c>
      <c r="C20" s="4">
        <v>118121.47994999999</v>
      </c>
      <c r="D20" s="5">
        <f t="shared" si="0"/>
        <v>46957.38839999889</v>
      </c>
    </row>
    <row r="21" spans="1:4" x14ac:dyDescent="0.25">
      <c r="A21" s="6">
        <v>46218</v>
      </c>
      <c r="B21" s="4">
        <f t="shared" si="1"/>
        <v>118121.47994999999</v>
      </c>
      <c r="C21" s="4">
        <v>118536.98602</v>
      </c>
      <c r="D21" s="5">
        <f t="shared" si="0"/>
        <v>37395.546300000278</v>
      </c>
    </row>
    <row r="22" spans="1:4" x14ac:dyDescent="0.25">
      <c r="A22" s="6">
        <v>46219</v>
      </c>
      <c r="B22" s="4">
        <f t="shared" si="1"/>
        <v>118536.98602</v>
      </c>
      <c r="C22" s="4">
        <v>118978.11461</v>
      </c>
      <c r="D22" s="5">
        <f t="shared" si="0"/>
        <v>39701.573100000678</v>
      </c>
    </row>
    <row r="23" spans="1:4" x14ac:dyDescent="0.25">
      <c r="A23" s="6">
        <v>46220</v>
      </c>
      <c r="B23" s="4">
        <f t="shared" si="1"/>
        <v>118978.11461</v>
      </c>
      <c r="C23" s="4">
        <v>119150.70641</v>
      </c>
      <c r="D23" s="5">
        <f t="shared" si="0"/>
        <v>15533.261999999522</v>
      </c>
    </row>
    <row r="24" spans="1:4" x14ac:dyDescent="0.25">
      <c r="A24" s="6">
        <v>46221</v>
      </c>
      <c r="B24" s="4">
        <f t="shared" si="1"/>
        <v>119150.70641</v>
      </c>
      <c r="C24" s="4">
        <v>119288.65499</v>
      </c>
      <c r="D24" s="5">
        <f t="shared" si="0"/>
        <v>12415.372199999692</v>
      </c>
    </row>
    <row r="25" spans="1:4" x14ac:dyDescent="0.25">
      <c r="A25" s="6">
        <v>46222</v>
      </c>
      <c r="B25" s="4">
        <f t="shared" si="1"/>
        <v>119288.65499</v>
      </c>
      <c r="C25" s="4">
        <v>119539.61732</v>
      </c>
      <c r="D25" s="5">
        <f t="shared" si="0"/>
        <v>22586.609700000845</v>
      </c>
    </row>
    <row r="26" spans="1:4" x14ac:dyDescent="0.25">
      <c r="A26" s="6">
        <v>46223</v>
      </c>
      <c r="B26" s="4">
        <f t="shared" si="1"/>
        <v>119539.61732</v>
      </c>
      <c r="C26" s="4">
        <v>119858.28628</v>
      </c>
      <c r="D26" s="5">
        <f t="shared" si="0"/>
        <v>28680.206399999588</v>
      </c>
    </row>
    <row r="27" spans="1:4" x14ac:dyDescent="0.25">
      <c r="A27" s="6">
        <v>46224</v>
      </c>
      <c r="B27" s="4">
        <f t="shared" si="1"/>
        <v>119858.28628</v>
      </c>
      <c r="C27" s="4">
        <v>119978.42657</v>
      </c>
      <c r="D27" s="5">
        <f t="shared" si="0"/>
        <v>10812.626099999616</v>
      </c>
    </row>
    <row r="28" spans="1:4" x14ac:dyDescent="0.25">
      <c r="A28" s="6">
        <v>46225</v>
      </c>
      <c r="B28" s="4">
        <f t="shared" si="1"/>
        <v>119978.42657</v>
      </c>
      <c r="C28" s="4">
        <v>120042.43079</v>
      </c>
      <c r="D28" s="5">
        <f t="shared" si="0"/>
        <v>5760.379800000228</v>
      </c>
    </row>
    <row r="29" spans="1:4" x14ac:dyDescent="0.25">
      <c r="A29" s="6">
        <v>46226</v>
      </c>
      <c r="B29" s="4">
        <f t="shared" si="1"/>
        <v>120042.43079</v>
      </c>
      <c r="C29" s="4">
        <v>120218.71210999999</v>
      </c>
      <c r="D29" s="5">
        <f t="shared" si="0"/>
        <v>15865.318799999513</v>
      </c>
    </row>
    <row r="30" spans="1:4" x14ac:dyDescent="0.25">
      <c r="A30" s="6">
        <v>46227</v>
      </c>
      <c r="B30" s="4">
        <f t="shared" si="1"/>
        <v>120218.71210999999</v>
      </c>
      <c r="C30" s="4">
        <v>120638.22841</v>
      </c>
      <c r="D30" s="5">
        <f t="shared" si="0"/>
        <v>37756.467000000266</v>
      </c>
    </row>
    <row r="31" spans="1:4" x14ac:dyDescent="0.25">
      <c r="A31" s="6">
        <v>46228</v>
      </c>
      <c r="B31" s="4">
        <f t="shared" si="1"/>
        <v>120638.22841</v>
      </c>
      <c r="C31" s="4">
        <v>121064.12174</v>
      </c>
      <c r="D31" s="5">
        <f t="shared" si="0"/>
        <v>38330.399700000562</v>
      </c>
    </row>
    <row r="32" spans="1:4" x14ac:dyDescent="0.25">
      <c r="A32" s="6">
        <v>46229</v>
      </c>
      <c r="B32" s="4">
        <f t="shared" si="1"/>
        <v>121064.12174</v>
      </c>
      <c r="C32" s="4">
        <v>121515.44305</v>
      </c>
      <c r="D32" s="5">
        <f t="shared" si="0"/>
        <v>40618.917899999942</v>
      </c>
    </row>
    <row r="33" spans="1:4" x14ac:dyDescent="0.25">
      <c r="A33" s="6">
        <v>46230</v>
      </c>
      <c r="B33" s="4">
        <f t="shared" si="1"/>
        <v>121515.44305</v>
      </c>
      <c r="C33" s="4">
        <v>121843.81204</v>
      </c>
      <c r="D33" s="5">
        <f t="shared" si="0"/>
        <v>29553.20910000024</v>
      </c>
    </row>
    <row r="34" spans="1:4" x14ac:dyDescent="0.25">
      <c r="A34" s="6">
        <v>46231</v>
      </c>
      <c r="B34" s="4">
        <f t="shared" si="1"/>
        <v>121843.81204</v>
      </c>
      <c r="C34" s="4">
        <v>122015.73480000001</v>
      </c>
      <c r="D34" s="5">
        <f t="shared" si="0"/>
        <v>15473.048400000116</v>
      </c>
    </row>
    <row r="35" spans="1:4" x14ac:dyDescent="0.25">
      <c r="A35" s="6">
        <v>46232</v>
      </c>
      <c r="B35" s="4">
        <f t="shared" si="1"/>
        <v>122015.73480000001</v>
      </c>
      <c r="C35" s="4">
        <v>122242.99436</v>
      </c>
      <c r="D35" s="5">
        <f t="shared" si="0"/>
        <v>20453.360399999219</v>
      </c>
    </row>
    <row r="36" spans="1:4" x14ac:dyDescent="0.25">
      <c r="A36" s="6">
        <v>46233</v>
      </c>
      <c r="B36" s="4">
        <f t="shared" si="1"/>
        <v>122242.99436</v>
      </c>
      <c r="C36" s="4">
        <v>122350.29953</v>
      </c>
      <c r="D36" s="5">
        <f t="shared" si="0"/>
        <v>9657.4653000006219</v>
      </c>
    </row>
    <row r="37" spans="1:4" ht="15.75" thickBot="1" x14ac:dyDescent="0.3">
      <c r="A37" s="6">
        <v>46234</v>
      </c>
      <c r="B37" s="2">
        <f t="shared" si="1"/>
        <v>122350.29953</v>
      </c>
      <c r="C37" s="2">
        <v>122557.78875000001</v>
      </c>
      <c r="D37" s="3">
        <f t="shared" si="0"/>
        <v>18674.02980000028</v>
      </c>
    </row>
    <row r="38" spans="1:4" ht="15.75" thickBot="1" x14ac:dyDescent="0.3">
      <c r="A38" s="9" t="s">
        <v>5</v>
      </c>
      <c r="B38" s="10"/>
      <c r="C38" s="11"/>
      <c r="D38" s="7">
        <f>SUM(D7:D37)</f>
        <v>786301.26480000024</v>
      </c>
    </row>
  </sheetData>
  <mergeCells count="8">
    <mergeCell ref="A38:C38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2025-12-01T05:46:12Z</dcterms:created>
  <dcterms:modified xsi:type="dcterms:W3CDTF">2026-07-31T13:27:48Z</dcterms:modified>
</cp:coreProperties>
</file>
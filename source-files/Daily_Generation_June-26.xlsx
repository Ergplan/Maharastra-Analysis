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\Desktop\"/>
    </mc:Choice>
  </mc:AlternateContent>
  <xr:revisionPtr revIDLastSave="0" documentId="13_ncr:1_{6BDC2B03-F317-4F1A-8FC5-F47367342432}" xr6:coauthVersionLast="36" xr6:coauthVersionMax="36" xr10:uidLastSave="{00000000-0000-0000-0000-000000000000}"/>
  <bookViews>
    <workbookView xWindow="0" yWindow="0" windowWidth="20490" windowHeight="7545" activeTab="7" xr2:uid="{03753B10-811C-4F7D-9A69-BD7EDEC6A2F6}"/>
  </bookViews>
  <sheets>
    <sheet name="Nov-25" sheetId="1" r:id="rId1"/>
    <sheet name="Dec-25" sheetId="2" r:id="rId2"/>
    <sheet name="Jan-26" sheetId="3" r:id="rId3"/>
    <sheet name="Feb-26" sheetId="4" r:id="rId4"/>
    <sheet name="March-26" sheetId="5" r:id="rId5"/>
    <sheet name="April-26" sheetId="6" r:id="rId6"/>
    <sheet name="May-26" sheetId="7" r:id="rId7"/>
    <sheet name="June-26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6" i="8" l="1"/>
  <c r="D36" i="8" s="1"/>
  <c r="B35" i="8" l="1"/>
  <c r="D35" i="8" s="1"/>
  <c r="B34" i="8" l="1"/>
  <c r="D34" i="8" s="1"/>
  <c r="B33" i="8" l="1"/>
  <c r="D33" i="8" s="1"/>
  <c r="B32" i="8" l="1"/>
  <c r="D32" i="8" s="1"/>
  <c r="B31" i="8" l="1"/>
  <c r="D31" i="8" s="1"/>
  <c r="B30" i="8" l="1"/>
  <c r="D30" i="8" s="1"/>
  <c r="B28" i="8" l="1"/>
  <c r="D28" i="8"/>
  <c r="B27" i="8" l="1"/>
  <c r="D27" i="8" s="1"/>
  <c r="B25" i="8" l="1"/>
  <c r="D25" i="8" s="1"/>
  <c r="B22" i="8" l="1"/>
  <c r="D22" i="8" s="1"/>
  <c r="B21" i="8" l="1"/>
  <c r="D21" i="8" s="1"/>
  <c r="B20" i="8" l="1"/>
  <c r="D20" i="8" s="1"/>
  <c r="B19" i="8" l="1"/>
  <c r="D19" i="8" s="1"/>
  <c r="B18" i="8" l="1"/>
  <c r="D18" i="8" s="1"/>
  <c r="B17" i="8" l="1"/>
  <c r="D17" i="8" s="1"/>
  <c r="B16" i="8" l="1"/>
  <c r="D16" i="8" s="1"/>
  <c r="B15" i="8" l="1"/>
  <c r="D15" i="8" s="1"/>
  <c r="B14" i="8" l="1"/>
  <c r="D14" i="8" s="1"/>
  <c r="B13" i="8" l="1"/>
  <c r="D13" i="8" s="1"/>
  <c r="B12" i="8" l="1"/>
  <c r="D12" i="8" s="1"/>
  <c r="B11" i="8" l="1"/>
  <c r="D11" i="8" s="1"/>
  <c r="B10" i="8" l="1"/>
  <c r="D10" i="8" s="1"/>
  <c r="B9" i="8" l="1"/>
  <c r="D9" i="8" s="1"/>
  <c r="B8" i="8" l="1"/>
  <c r="D8" i="8" s="1"/>
  <c r="D7" i="8" l="1"/>
  <c r="D37" i="8" l="1"/>
  <c r="B37" i="7"/>
  <c r="D37" i="7" s="1"/>
  <c r="B36" i="7" l="1"/>
  <c r="D36" i="7" s="1"/>
  <c r="B35" i="7" l="1"/>
  <c r="D35" i="7" s="1"/>
  <c r="B34" i="7" l="1"/>
  <c r="D34" i="7" s="1"/>
  <c r="B33" i="7" l="1"/>
  <c r="D33" i="7" s="1"/>
  <c r="B32" i="7" l="1"/>
  <c r="D32" i="7" s="1"/>
  <c r="B31" i="7" l="1"/>
  <c r="D31" i="7" s="1"/>
  <c r="B30" i="7" l="1"/>
  <c r="D30" i="7" s="1"/>
  <c r="B29" i="7" l="1"/>
  <c r="D29" i="7" s="1"/>
  <c r="B28" i="7" l="1"/>
  <c r="D28" i="7" s="1"/>
  <c r="B27" i="7" l="1"/>
  <c r="D27" i="7" s="1"/>
  <c r="B26" i="7" l="1"/>
  <c r="D26" i="7" s="1"/>
  <c r="B25" i="7" l="1"/>
  <c r="D25" i="7" s="1"/>
  <c r="B24" i="7" l="1"/>
  <c r="D24" i="7" s="1"/>
  <c r="B23" i="7" l="1"/>
  <c r="D23" i="7" s="1"/>
  <c r="B22" i="7" l="1"/>
  <c r="D22" i="7" s="1"/>
  <c r="B21" i="7" l="1"/>
  <c r="D21" i="7" s="1"/>
  <c r="B20" i="7" l="1"/>
  <c r="D20" i="7" s="1"/>
  <c r="B19" i="7" l="1"/>
  <c r="D19" i="7" s="1"/>
  <c r="B18" i="7" l="1"/>
  <c r="D18" i="7" s="1"/>
  <c r="B17" i="7" l="1"/>
  <c r="D17" i="7" s="1"/>
  <c r="B16" i="7" l="1"/>
  <c r="D16" i="7" s="1"/>
  <c r="B15" i="7" l="1"/>
  <c r="D15" i="7" s="1"/>
  <c r="B14" i="7" l="1"/>
  <c r="D14" i="7" s="1"/>
  <c r="B13" i="7" l="1"/>
  <c r="D13" i="7" s="1"/>
  <c r="B12" i="7" l="1"/>
  <c r="D12" i="7" s="1"/>
  <c r="B11" i="7" l="1"/>
  <c r="D11" i="7" s="1"/>
  <c r="B10" i="7" l="1"/>
  <c r="D10" i="7" s="1"/>
  <c r="B9" i="7" l="1"/>
  <c r="D9" i="7" s="1"/>
  <c r="B8" i="7" l="1"/>
  <c r="D8" i="7" s="1"/>
  <c r="D7" i="7" l="1"/>
  <c r="D38" i="7" l="1"/>
  <c r="B36" i="6" l="1"/>
  <c r="D36" i="6" s="1"/>
  <c r="B35" i="6" l="1"/>
  <c r="D35" i="6" s="1"/>
  <c r="B34" i="6" l="1"/>
  <c r="D34" i="6" s="1"/>
  <c r="B33" i="6"/>
  <c r="D33" i="6" s="1"/>
  <c r="B32" i="6"/>
  <c r="D32" i="6" s="1"/>
  <c r="B31" i="6"/>
  <c r="D31" i="6" s="1"/>
  <c r="B30" i="6"/>
  <c r="D30" i="6" s="1"/>
  <c r="B29" i="6"/>
  <c r="D29" i="6" s="1"/>
  <c r="B28" i="6"/>
  <c r="D28" i="6" s="1"/>
  <c r="B27" i="6"/>
  <c r="D27" i="6" s="1"/>
  <c r="B26" i="6"/>
  <c r="D26" i="6" s="1"/>
  <c r="B25" i="6"/>
  <c r="D25" i="6" s="1"/>
  <c r="B24" i="6"/>
  <c r="D24" i="6" s="1"/>
  <c r="B23" i="6" l="1"/>
  <c r="D23" i="6" s="1"/>
  <c r="B22" i="6" l="1"/>
  <c r="D22" i="6" s="1"/>
  <c r="B21" i="6" l="1"/>
  <c r="D21" i="6" s="1"/>
  <c r="B20" i="6"/>
  <c r="D20" i="6" s="1"/>
  <c r="B19" i="6" l="1"/>
  <c r="D19" i="6" s="1"/>
  <c r="B18" i="6" l="1"/>
  <c r="D18" i="6" s="1"/>
  <c r="B17" i="6" l="1"/>
  <c r="D17" i="6" s="1"/>
  <c r="B16" i="6" l="1"/>
  <c r="D16" i="6" s="1"/>
  <c r="B15" i="6" l="1"/>
  <c r="D15" i="6" s="1"/>
  <c r="B14" i="6" l="1"/>
  <c r="D14" i="6" s="1"/>
  <c r="B13" i="6" l="1"/>
  <c r="D13" i="6" s="1"/>
  <c r="B12" i="6" l="1"/>
  <c r="D12" i="6" s="1"/>
  <c r="B11" i="6" l="1"/>
  <c r="D11" i="6" s="1"/>
  <c r="B10" i="6" l="1"/>
  <c r="D10" i="6" s="1"/>
  <c r="B9" i="6" l="1"/>
  <c r="D9" i="6" s="1"/>
  <c r="B8" i="6" l="1"/>
  <c r="D8" i="6" s="1"/>
  <c r="D7" i="6" l="1"/>
  <c r="D37" i="6" l="1"/>
  <c r="B37" i="5"/>
  <c r="D37" i="5" s="1"/>
  <c r="B36" i="5" l="1"/>
  <c r="D36" i="5" s="1"/>
  <c r="B35" i="5" l="1"/>
  <c r="D35" i="5" s="1"/>
  <c r="B34" i="5" l="1"/>
  <c r="D34" i="5" s="1"/>
  <c r="B33" i="5" l="1"/>
  <c r="D33" i="5" s="1"/>
  <c r="B32" i="5" l="1"/>
  <c r="D32" i="5" s="1"/>
  <c r="B31" i="5" l="1"/>
  <c r="D31" i="5" s="1"/>
  <c r="B30" i="5" l="1"/>
  <c r="D30" i="5" s="1"/>
  <c r="B29" i="5" l="1"/>
  <c r="D29" i="5" s="1"/>
  <c r="B28" i="5" l="1"/>
  <c r="D28" i="5" s="1"/>
  <c r="B27" i="5" l="1"/>
  <c r="D27" i="5" s="1"/>
  <c r="B26" i="5" l="1"/>
  <c r="D26" i="5" s="1"/>
  <c r="B25" i="5" l="1"/>
  <c r="D25" i="5" s="1"/>
  <c r="B24" i="5" l="1"/>
  <c r="D24" i="5" s="1"/>
  <c r="B23" i="5" l="1"/>
  <c r="D23" i="5" s="1"/>
  <c r="B22" i="5" l="1"/>
  <c r="D22" i="5" s="1"/>
  <c r="B21" i="5" l="1"/>
  <c r="D21" i="5" s="1"/>
  <c r="B20" i="5" l="1"/>
  <c r="D20" i="5" s="1"/>
  <c r="B19" i="5" l="1"/>
  <c r="D19" i="5" s="1"/>
  <c r="B18" i="5" l="1"/>
  <c r="D18" i="5" s="1"/>
  <c r="B17" i="5" l="1"/>
  <c r="D17" i="5" s="1"/>
  <c r="B16" i="5" l="1"/>
  <c r="D16" i="5" s="1"/>
  <c r="B15" i="5" l="1"/>
  <c r="D15" i="5" s="1"/>
  <c r="B14" i="5" l="1"/>
  <c r="D14" i="5" s="1"/>
  <c r="B13" i="5" l="1"/>
  <c r="D13" i="5" s="1"/>
  <c r="B12" i="5" l="1"/>
  <c r="D12" i="5" s="1"/>
  <c r="B11" i="5" l="1"/>
  <c r="D11" i="5" s="1"/>
  <c r="B10" i="5" l="1"/>
  <c r="D10" i="5" s="1"/>
  <c r="B9" i="5" l="1"/>
  <c r="D9" i="5" s="1"/>
  <c r="B8" i="5"/>
  <c r="D8" i="5" s="1"/>
  <c r="D7" i="5"/>
  <c r="D38" i="5" l="1"/>
  <c r="B34" i="4"/>
  <c r="D34" i="4" s="1"/>
  <c r="B33" i="4" l="1"/>
  <c r="D33" i="4" s="1"/>
  <c r="B32" i="4" l="1"/>
  <c r="D32" i="4" s="1"/>
  <c r="B31" i="4" l="1"/>
  <c r="D31" i="4" s="1"/>
  <c r="B30" i="4" l="1"/>
  <c r="D30" i="4" s="1"/>
  <c r="B29" i="4" l="1"/>
  <c r="D29" i="4" s="1"/>
  <c r="B28" i="4" l="1"/>
  <c r="D28" i="4" s="1"/>
  <c r="B27" i="4" l="1"/>
  <c r="D27" i="4" s="1"/>
  <c r="B26" i="4" l="1"/>
  <c r="D26" i="4" s="1"/>
  <c r="B25" i="4" l="1"/>
  <c r="D25" i="4" s="1"/>
  <c r="B24" i="4" l="1"/>
  <c r="D24" i="4" s="1"/>
  <c r="B23" i="4" l="1"/>
  <c r="D23" i="4" s="1"/>
  <c r="B22" i="4" l="1"/>
  <c r="D22" i="4" s="1"/>
  <c r="B21" i="4" l="1"/>
  <c r="D21" i="4" s="1"/>
  <c r="B20" i="4" l="1"/>
  <c r="D20" i="4" s="1"/>
  <c r="B19" i="4" l="1"/>
  <c r="D19" i="4" s="1"/>
  <c r="B18" i="4" l="1"/>
  <c r="D18" i="4" s="1"/>
  <c r="B17" i="4" l="1"/>
  <c r="D17" i="4" s="1"/>
  <c r="B16" i="4" l="1"/>
  <c r="D16" i="4" s="1"/>
  <c r="B15" i="4" l="1"/>
  <c r="D15" i="4" s="1"/>
  <c r="B14" i="4" l="1"/>
  <c r="D14" i="4" s="1"/>
  <c r="B13" i="4" l="1"/>
  <c r="D13" i="4" s="1"/>
  <c r="B12" i="4" l="1"/>
  <c r="D12" i="4" s="1"/>
  <c r="B11" i="4" l="1"/>
  <c r="D11" i="4" s="1"/>
  <c r="B10" i="4" l="1"/>
  <c r="D10" i="4" s="1"/>
  <c r="B9" i="4" l="1"/>
  <c r="D9" i="4" s="1"/>
  <c r="B8" i="4" l="1"/>
  <c r="D8" i="4" s="1"/>
  <c r="D7" i="4" l="1"/>
  <c r="D35" i="4" l="1"/>
  <c r="B37" i="3"/>
  <c r="D37" i="3" s="1"/>
  <c r="B36" i="3" l="1"/>
  <c r="D36" i="3" s="1"/>
  <c r="B35" i="3" l="1"/>
  <c r="D35" i="3" s="1"/>
  <c r="B34" i="3" l="1"/>
  <c r="D34" i="3" s="1"/>
  <c r="B32" i="3" l="1"/>
  <c r="D32" i="3" s="1"/>
  <c r="B33" i="3"/>
  <c r="D33" i="3" s="1"/>
  <c r="B31" i="3" l="1"/>
  <c r="D31" i="3" s="1"/>
  <c r="B30" i="3" l="1"/>
  <c r="D30" i="3" s="1"/>
  <c r="B29" i="3" l="1"/>
  <c r="D29" i="3" s="1"/>
  <c r="B28" i="3" l="1"/>
  <c r="D28" i="3" s="1"/>
  <c r="B27" i="3" l="1"/>
  <c r="D27" i="3" s="1"/>
  <c r="B26" i="3" l="1"/>
  <c r="D26" i="3" s="1"/>
  <c r="B25" i="3" l="1"/>
  <c r="D25" i="3" s="1"/>
  <c r="B24" i="3" l="1"/>
  <c r="D24" i="3" s="1"/>
  <c r="B23" i="3" l="1"/>
  <c r="D23" i="3" s="1"/>
  <c r="B22" i="3" l="1"/>
  <c r="D22" i="3" s="1"/>
  <c r="B21" i="3" l="1"/>
  <c r="D21" i="3" s="1"/>
  <c r="B20" i="3" l="1"/>
  <c r="D20" i="3" s="1"/>
  <c r="B19" i="3" l="1"/>
  <c r="D19" i="3" s="1"/>
  <c r="B18" i="3" l="1"/>
  <c r="D18" i="3" s="1"/>
  <c r="B17" i="3" l="1"/>
  <c r="D17" i="3" s="1"/>
  <c r="B16" i="3" l="1"/>
  <c r="D16" i="3" s="1"/>
  <c r="D15" i="3" l="1"/>
  <c r="B14" i="3" l="1"/>
  <c r="D14" i="3" s="1"/>
  <c r="B13" i="3" l="1"/>
  <c r="D13" i="3" s="1"/>
  <c r="B12" i="3" l="1"/>
  <c r="D12" i="3" s="1"/>
  <c r="B11" i="3" l="1"/>
  <c r="D11" i="3" s="1"/>
  <c r="B10" i="3" l="1"/>
  <c r="D10" i="3" s="1"/>
  <c r="B9" i="3" l="1"/>
  <c r="D9" i="3" s="1"/>
  <c r="B8" i="3" l="1"/>
  <c r="D8" i="3" s="1"/>
  <c r="D7" i="3" l="1"/>
  <c r="D38" i="3" l="1"/>
  <c r="B37" i="2"/>
  <c r="D37" i="2" s="1"/>
  <c r="B36" i="2" l="1"/>
  <c r="D36" i="2" s="1"/>
  <c r="B35" i="2" l="1"/>
  <c r="D35" i="2" s="1"/>
  <c r="B34" i="2" l="1"/>
  <c r="D34" i="2" s="1"/>
  <c r="B33" i="2" l="1"/>
  <c r="D33" i="2" s="1"/>
  <c r="B32" i="2" l="1"/>
  <c r="D32" i="2" s="1"/>
  <c r="B31" i="2" l="1"/>
  <c r="D31" i="2" s="1"/>
  <c r="B30" i="2" l="1"/>
  <c r="D30" i="2" s="1"/>
  <c r="B29" i="2" l="1"/>
  <c r="D29" i="2" s="1"/>
  <c r="B28" i="2" l="1"/>
  <c r="D28" i="2" s="1"/>
  <c r="B27" i="2" l="1"/>
  <c r="D27" i="2" s="1"/>
  <c r="B26" i="2" l="1"/>
  <c r="D26" i="2" s="1"/>
  <c r="B25" i="2" l="1"/>
  <c r="D25" i="2" s="1"/>
  <c r="B24" i="2" l="1"/>
  <c r="D24" i="2" s="1"/>
  <c r="B23" i="2" l="1"/>
  <c r="D23" i="2" s="1"/>
  <c r="B22" i="2" l="1"/>
  <c r="D22" i="2" s="1"/>
  <c r="B21" i="2" l="1"/>
  <c r="D21" i="2" s="1"/>
  <c r="B20" i="2" l="1"/>
  <c r="D20" i="2" s="1"/>
  <c r="B19" i="2" l="1"/>
  <c r="D19" i="2" s="1"/>
  <c r="B18" i="2" l="1"/>
  <c r="D18" i="2" s="1"/>
  <c r="B17" i="2" l="1"/>
  <c r="D17" i="2" s="1"/>
  <c r="B16" i="2" l="1"/>
  <c r="D16" i="2" s="1"/>
  <c r="B15" i="2" l="1"/>
  <c r="D15" i="2" s="1"/>
  <c r="B14" i="2" l="1"/>
  <c r="D14" i="2" s="1"/>
  <c r="B13" i="2" l="1"/>
  <c r="D13" i="2" s="1"/>
  <c r="B12" i="2" l="1"/>
  <c r="D12" i="2" s="1"/>
  <c r="B11" i="2" l="1"/>
  <c r="D11" i="2" s="1"/>
  <c r="B10" i="2" l="1"/>
  <c r="D10" i="2" s="1"/>
  <c r="B9" i="2" l="1"/>
  <c r="D9" i="2" s="1"/>
  <c r="B8" i="2"/>
  <c r="D8" i="2" s="1"/>
  <c r="D7" i="2"/>
  <c r="D38" i="2" l="1"/>
  <c r="D7" i="1"/>
  <c r="B37" i="1"/>
  <c r="D37" i="1" s="1"/>
  <c r="B36" i="1"/>
  <c r="D36" i="1" s="1"/>
  <c r="B35" i="1"/>
  <c r="D35" i="1" s="1"/>
  <c r="B34" i="1"/>
  <c r="D34" i="1" s="1"/>
  <c r="B33" i="1"/>
  <c r="D33" i="1" s="1"/>
  <c r="B32" i="1"/>
  <c r="D32" i="1" s="1"/>
  <c r="B31" i="1"/>
  <c r="D31" i="1" s="1"/>
  <c r="B30" i="1"/>
  <c r="D30" i="1" s="1"/>
  <c r="B29" i="1"/>
  <c r="D29" i="1" s="1"/>
  <c r="B28" i="1"/>
  <c r="D28" i="1" s="1"/>
  <c r="B27" i="1"/>
  <c r="D27" i="1" s="1"/>
  <c r="B26" i="1"/>
  <c r="D26" i="1" s="1"/>
  <c r="D25" i="1"/>
  <c r="B24" i="1"/>
  <c r="D24" i="1" s="1"/>
  <c r="B23" i="1"/>
  <c r="D23" i="1" s="1"/>
  <c r="B22" i="1"/>
  <c r="D22" i="1" s="1"/>
  <c r="B21" i="1"/>
  <c r="D21" i="1" s="1"/>
  <c r="B20" i="1"/>
  <c r="D20" i="1" s="1"/>
  <c r="B19" i="1"/>
  <c r="D19" i="1" s="1"/>
  <c r="B18" i="1"/>
  <c r="D18" i="1" s="1"/>
  <c r="B17" i="1"/>
  <c r="D17" i="1" s="1"/>
  <c r="B16" i="1"/>
  <c r="D16" i="1" s="1"/>
  <c r="B15" i="1"/>
  <c r="D15" i="1" s="1"/>
  <c r="B14" i="1"/>
  <c r="D14" i="1" s="1"/>
  <c r="D13" i="1"/>
  <c r="B12" i="1"/>
  <c r="D12" i="1" s="1"/>
  <c r="B11" i="1"/>
  <c r="D11" i="1" s="1"/>
  <c r="B10" i="1"/>
  <c r="D10" i="1" s="1"/>
  <c r="B9" i="1"/>
  <c r="D9" i="1" s="1"/>
  <c r="D8" i="1"/>
  <c r="D38" i="1" l="1"/>
</calcChain>
</file>

<file path=xl/sharedStrings.xml><?xml version="1.0" encoding="utf-8"?>
<sst xmlns="http://schemas.openxmlformats.org/spreadsheetml/2006/main" count="64" uniqueCount="8">
  <si>
    <t>Date</t>
  </si>
  <si>
    <t>Export</t>
  </si>
  <si>
    <t xml:space="preserve">IMR
(MWH)
</t>
  </si>
  <si>
    <t xml:space="preserve">FMR
(MWH)
</t>
  </si>
  <si>
    <t xml:space="preserve">DIFFERENCE
(KWH)
</t>
  </si>
  <si>
    <t>TOTAL</t>
  </si>
  <si>
    <t>ABT Meter</t>
  </si>
  <si>
    <t>7.5 MWp Deoli Maharastra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</si>
</sst>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;@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164" fontId="2" fillId="0" borderId="5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164" fontId="2" fillId="0" borderId="4" xfId="0" applyNumberFormat="1" applyFont="1" applyBorder="1" applyAlignment="1">
      <alignment horizontal="center" vertical="center"/>
    </xf>
    <xf numFmtId="0" fontId="2" fillId="0" borderId="12" xfId="0" applyFont="1" applyBorder="1"/>
    <xf numFmtId="0" fontId="2" fillId="0" borderId="13" xfId="0" applyFont="1" applyBorder="1" applyAlignment="1">
      <alignment horizontal="center"/>
    </xf>
    <xf numFmtId="2" fontId="2" fillId="0" borderId="10" xfId="0" applyNumberFormat="1" applyFont="1" applyBorder="1" applyAlignment="1">
      <alignment horizontal="center" vertical="center"/>
    </xf>
    <xf numFmtId="165" fontId="2" fillId="0" borderId="10" xfId="0" applyNumberFormat="1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2" fontId="1" fillId="7" borderId="16" xfId="0" applyNumberFormat="1" applyFont="1" applyFill="1" applyBorder="1" applyAlignment="1">
      <alignment horizontal="center" vertical="center"/>
    </xf>
    <xf numFmtId="2" fontId="1" fillId="7" borderId="6" xfId="0" applyNumberFormat="1" applyFont="1" applyFill="1" applyBorder="1" applyAlignment="1">
      <alignment horizontal="center" vertical="center"/>
    </xf>
    <xf numFmtId="1" fontId="2" fillId="4" borderId="17" xfId="0" applyNumberFormat="1" applyFont="1" applyFill="1" applyBorder="1" applyAlignment="1">
      <alignment horizontal="center" vertical="center"/>
    </xf>
    <xf numFmtId="2" fontId="2" fillId="0" borderId="18" xfId="0" applyNumberFormat="1" applyFont="1" applyBorder="1" applyAlignment="1">
      <alignment horizontal="center" vertical="center"/>
    </xf>
    <xf numFmtId="1" fontId="2" fillId="4" borderId="19" xfId="0" applyNumberFormat="1" applyFont="1" applyFill="1" applyBorder="1" applyAlignment="1">
      <alignment horizontal="center" vertical="center"/>
    </xf>
    <xf numFmtId="2" fontId="2" fillId="0" borderId="20" xfId="0" applyNumberFormat="1" applyFont="1" applyBorder="1" applyAlignment="1">
      <alignment horizontal="center" vertical="center"/>
    </xf>
    <xf numFmtId="165" fontId="2" fillId="0" borderId="21" xfId="0" applyNumberFormat="1" applyFont="1" applyBorder="1" applyAlignment="1">
      <alignment horizontal="center" vertical="center"/>
    </xf>
    <xf numFmtId="1" fontId="2" fillId="4" borderId="22" xfId="0" applyNumberFormat="1" applyFont="1" applyFill="1" applyBorder="1" applyAlignment="1">
      <alignment horizontal="center" vertical="center"/>
    </xf>
    <xf numFmtId="1" fontId="2" fillId="0" borderId="23" xfId="0" applyNumberFormat="1" applyFont="1" applyBorder="1" applyAlignment="1">
      <alignment horizontal="center"/>
    </xf>
    <xf numFmtId="164" fontId="2" fillId="0" borderId="24" xfId="0" applyNumberFormat="1" applyFont="1" applyBorder="1" applyAlignment="1">
      <alignment horizontal="center" vertical="center"/>
    </xf>
    <xf numFmtId="164" fontId="2" fillId="0" borderId="25" xfId="0" applyNumberFormat="1" applyFont="1" applyBorder="1" applyAlignment="1">
      <alignment horizontal="center" vertical="center"/>
    </xf>
    <xf numFmtId="1" fontId="2" fillId="4" borderId="10" xfId="0" applyNumberFormat="1" applyFont="1" applyFill="1" applyBorder="1" applyAlignment="1">
      <alignment horizontal="center" vertical="center"/>
    </xf>
    <xf numFmtId="165" fontId="2" fillId="0" borderId="26" xfId="0" applyNumberFormat="1" applyFont="1" applyBorder="1" applyAlignment="1">
      <alignment horizontal="center" vertical="center"/>
    </xf>
    <xf numFmtId="2" fontId="2" fillId="0" borderId="26" xfId="0" applyNumberFormat="1" applyFont="1" applyBorder="1" applyAlignment="1">
      <alignment horizontal="center" vertical="center"/>
    </xf>
    <xf numFmtId="1" fontId="2" fillId="4" borderId="26" xfId="0" applyNumberFormat="1" applyFont="1" applyFill="1" applyBorder="1" applyAlignment="1">
      <alignment horizontal="center" vertical="center"/>
    </xf>
    <xf numFmtId="165" fontId="2" fillId="0" borderId="27" xfId="0" applyNumberFormat="1" applyFont="1" applyBorder="1" applyAlignment="1">
      <alignment horizontal="center" vertical="center"/>
    </xf>
    <xf numFmtId="2" fontId="2" fillId="0" borderId="27" xfId="0" applyNumberFormat="1" applyFont="1" applyBorder="1" applyAlignment="1">
      <alignment horizontal="center" vertical="center"/>
    </xf>
    <xf numFmtId="1" fontId="2" fillId="4" borderId="27" xfId="0" applyNumberFormat="1" applyFont="1" applyFill="1" applyBorder="1" applyAlignment="1">
      <alignment horizontal="center" vertical="center"/>
    </xf>
    <xf numFmtId="165" fontId="2" fillId="0" borderId="28" xfId="0" applyNumberFormat="1" applyFont="1" applyBorder="1" applyAlignment="1">
      <alignment horizontal="center" vertical="center"/>
    </xf>
    <xf numFmtId="2" fontId="2" fillId="0" borderId="28" xfId="0" applyNumberFormat="1" applyFont="1" applyBorder="1" applyAlignment="1">
      <alignment horizontal="center" vertical="center"/>
    </xf>
    <xf numFmtId="1" fontId="2" fillId="4" borderId="28" xfId="0" applyNumberFormat="1" applyFont="1" applyFill="1" applyBorder="1" applyAlignment="1">
      <alignment horizontal="center" vertical="center"/>
    </xf>
    <xf numFmtId="165" fontId="2" fillId="0" borderId="29" xfId="0" applyNumberFormat="1" applyFont="1" applyBorder="1" applyAlignment="1">
      <alignment horizontal="center" vertical="center"/>
    </xf>
    <xf numFmtId="2" fontId="2" fillId="0" borderId="29" xfId="0" applyNumberFormat="1" applyFont="1" applyBorder="1" applyAlignment="1">
      <alignment horizontal="center" vertical="center"/>
    </xf>
    <xf numFmtId="1" fontId="2" fillId="4" borderId="29" xfId="0" applyNumberFormat="1" applyFont="1" applyFill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2" fillId="0" borderId="31" xfId="0" applyFont="1" applyBorder="1"/>
    <xf numFmtId="0" fontId="2" fillId="0" borderId="32" xfId="0" applyFont="1" applyBorder="1" applyAlignment="1">
      <alignment horizontal="center"/>
    </xf>
    <xf numFmtId="1" fontId="2" fillId="0" borderId="33" xfId="0" applyNumberFormat="1" applyFont="1" applyBorder="1" applyAlignment="1">
      <alignment horizontal="center"/>
    </xf>
    <xf numFmtId="0" fontId="0" fillId="0" borderId="0" xfId="0" applyBorder="1"/>
    <xf numFmtId="0" fontId="0" fillId="0" borderId="0" xfId="0" applyAlignment="1">
      <alignment horizontal="center"/>
    </xf>
    <xf numFmtId="164" fontId="2" fillId="0" borderId="10" xfId="0" applyNumberFormat="1" applyFont="1" applyBorder="1" applyAlignment="1">
      <alignment horizontal="center" vertical="center"/>
    </xf>
    <xf numFmtId="164" fontId="2" fillId="0" borderId="27" xfId="0" applyNumberFormat="1" applyFont="1" applyBorder="1" applyAlignment="1">
      <alignment horizontal="center" vertical="center"/>
    </xf>
    <xf numFmtId="164" fontId="2" fillId="0" borderId="39" xfId="0" applyNumberFormat="1" applyFont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" fillId="2" borderId="27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1" fontId="2" fillId="0" borderId="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FBD32-08D7-4301-94F6-3EE6180098DC}">
  <dimension ref="A1:D38"/>
  <sheetViews>
    <sheetView topLeftCell="A17" workbookViewId="0">
      <selection activeCell="H24" sqref="H24"/>
    </sheetView>
  </sheetViews>
  <sheetFormatPr defaultRowHeight="15" x14ac:dyDescent="0.25"/>
  <cols>
    <col min="1" max="1" width="9.42578125" bestFit="1" customWidth="1"/>
    <col min="3" max="3" width="10.28515625" customWidth="1"/>
    <col min="4" max="4" width="12.5703125" customWidth="1"/>
  </cols>
  <sheetData>
    <row r="1" spans="1:4" ht="16.5" thickBot="1" x14ac:dyDescent="0.3">
      <c r="A1" s="49" t="s">
        <v>7</v>
      </c>
      <c r="B1" s="50"/>
      <c r="C1" s="50"/>
      <c r="D1" s="51"/>
    </row>
    <row r="2" spans="1:4" ht="19.5" thickBot="1" x14ac:dyDescent="0.3">
      <c r="A2" s="44" t="s">
        <v>6</v>
      </c>
      <c r="B2" s="45"/>
      <c r="C2" s="45"/>
      <c r="D2" s="46"/>
    </row>
    <row r="3" spans="1:4" ht="15.75" thickBot="1" x14ac:dyDescent="0.3">
      <c r="A3" s="2"/>
      <c r="B3" s="52" t="s">
        <v>1</v>
      </c>
      <c r="C3" s="52"/>
      <c r="D3" s="52"/>
    </row>
    <row r="4" spans="1:4" ht="15.75" thickBot="1" x14ac:dyDescent="0.3">
      <c r="A4" s="47" t="s">
        <v>0</v>
      </c>
      <c r="B4" s="53" t="s">
        <v>2</v>
      </c>
      <c r="C4" s="56" t="s">
        <v>3</v>
      </c>
      <c r="D4" s="56" t="s">
        <v>4</v>
      </c>
    </row>
    <row r="5" spans="1:4" ht="15.75" thickBot="1" x14ac:dyDescent="0.3">
      <c r="A5" s="48"/>
      <c r="B5" s="54"/>
      <c r="C5" s="57"/>
      <c r="D5" s="57"/>
    </row>
    <row r="6" spans="1:4" ht="15.75" thickBot="1" x14ac:dyDescent="0.3">
      <c r="A6" s="48"/>
      <c r="B6" s="55"/>
      <c r="C6" s="47"/>
      <c r="D6" s="47"/>
    </row>
    <row r="7" spans="1:4" x14ac:dyDescent="0.25">
      <c r="A7" s="1">
        <v>45961</v>
      </c>
      <c r="B7" s="10">
        <v>52.202330000000003</v>
      </c>
      <c r="C7" s="11">
        <v>52.202330000000003</v>
      </c>
      <c r="D7" s="12">
        <f>(C7-B7)*90</f>
        <v>0</v>
      </c>
    </row>
    <row r="8" spans="1:4" x14ac:dyDescent="0.25">
      <c r="A8" s="8">
        <v>45962</v>
      </c>
      <c r="B8" s="13">
        <v>52.202330000000003</v>
      </c>
      <c r="C8" s="6">
        <v>52.285350000000001</v>
      </c>
      <c r="D8" s="14">
        <f>(C8-B8)*90</f>
        <v>7.4717999999997886</v>
      </c>
    </row>
    <row r="9" spans="1:4" x14ac:dyDescent="0.25">
      <c r="A9" s="8">
        <v>45963</v>
      </c>
      <c r="B9" s="13">
        <f>C8</f>
        <v>52.285350000000001</v>
      </c>
      <c r="C9" s="6">
        <v>335.25416999999999</v>
      </c>
      <c r="D9" s="14">
        <f t="shared" ref="D9:D37" si="0">(C9-B9)*90</f>
        <v>25467.193800000001</v>
      </c>
    </row>
    <row r="10" spans="1:4" x14ac:dyDescent="0.25">
      <c r="A10" s="8">
        <v>45964</v>
      </c>
      <c r="B10" s="13">
        <f>C9</f>
        <v>335.25416999999999</v>
      </c>
      <c r="C10" s="6">
        <v>768.06413999999995</v>
      </c>
      <c r="D10" s="14">
        <f t="shared" si="0"/>
        <v>38952.897299999997</v>
      </c>
    </row>
    <row r="11" spans="1:4" x14ac:dyDescent="0.25">
      <c r="A11" s="8">
        <v>45965</v>
      </c>
      <c r="B11" s="13">
        <f>C10</f>
        <v>768.06413999999995</v>
      </c>
      <c r="C11" s="6">
        <v>1208.1585700000001</v>
      </c>
      <c r="D11" s="14">
        <f t="shared" si="0"/>
        <v>39608.498700000011</v>
      </c>
    </row>
    <row r="12" spans="1:4" x14ac:dyDescent="0.25">
      <c r="A12" s="8">
        <v>45966</v>
      </c>
      <c r="B12" s="13">
        <f>C11</f>
        <v>1208.1585700000001</v>
      </c>
      <c r="C12" s="6">
        <v>1678.74731</v>
      </c>
      <c r="D12" s="14">
        <f t="shared" si="0"/>
        <v>42352.986599999989</v>
      </c>
    </row>
    <row r="13" spans="1:4" x14ac:dyDescent="0.25">
      <c r="A13" s="8">
        <v>45967</v>
      </c>
      <c r="B13" s="13">
        <v>1678.74731</v>
      </c>
      <c r="C13" s="6">
        <v>2195.5532600000001</v>
      </c>
      <c r="D13" s="14">
        <f t="shared" si="0"/>
        <v>46512.535500000013</v>
      </c>
    </row>
    <row r="14" spans="1:4" x14ac:dyDescent="0.25">
      <c r="A14" s="8">
        <v>45968</v>
      </c>
      <c r="B14" s="13">
        <f t="shared" ref="B14:B24" si="1">C13</f>
        <v>2195.5532600000001</v>
      </c>
      <c r="C14" s="6">
        <v>2727.75776</v>
      </c>
      <c r="D14" s="14">
        <f t="shared" si="0"/>
        <v>47898.404999999984</v>
      </c>
    </row>
    <row r="15" spans="1:4" x14ac:dyDescent="0.25">
      <c r="A15" s="8">
        <v>45969</v>
      </c>
      <c r="B15" s="13">
        <f t="shared" si="1"/>
        <v>2727.75776</v>
      </c>
      <c r="C15" s="6">
        <v>2727.75776</v>
      </c>
      <c r="D15" s="14">
        <f t="shared" si="0"/>
        <v>0</v>
      </c>
    </row>
    <row r="16" spans="1:4" x14ac:dyDescent="0.25">
      <c r="A16" s="8">
        <v>45970</v>
      </c>
      <c r="B16" s="13">
        <f t="shared" si="1"/>
        <v>2727.75776</v>
      </c>
      <c r="C16" s="6">
        <v>2727.75776</v>
      </c>
      <c r="D16" s="14">
        <f t="shared" si="0"/>
        <v>0</v>
      </c>
    </row>
    <row r="17" spans="1:4" x14ac:dyDescent="0.25">
      <c r="A17" s="8">
        <v>45971</v>
      </c>
      <c r="B17" s="13">
        <f t="shared" si="1"/>
        <v>2727.75776</v>
      </c>
      <c r="C17" s="6">
        <v>2727.75776</v>
      </c>
      <c r="D17" s="14">
        <f t="shared" si="0"/>
        <v>0</v>
      </c>
    </row>
    <row r="18" spans="1:4" x14ac:dyDescent="0.25">
      <c r="A18" s="8">
        <v>45972</v>
      </c>
      <c r="B18" s="13">
        <f t="shared" si="1"/>
        <v>2727.75776</v>
      </c>
      <c r="C18" s="6">
        <v>2808.1752799999999</v>
      </c>
      <c r="D18" s="14">
        <f t="shared" si="0"/>
        <v>7237.5767999999971</v>
      </c>
    </row>
    <row r="19" spans="1:4" x14ac:dyDescent="0.25">
      <c r="A19" s="8">
        <v>45973</v>
      </c>
      <c r="B19" s="13">
        <f t="shared" si="1"/>
        <v>2808.1752799999999</v>
      </c>
      <c r="C19" s="6">
        <v>3139.83871</v>
      </c>
      <c r="D19" s="14">
        <f t="shared" si="0"/>
        <v>29849.708700000007</v>
      </c>
    </row>
    <row r="20" spans="1:4" x14ac:dyDescent="0.25">
      <c r="A20" s="8">
        <v>45974</v>
      </c>
      <c r="B20" s="13">
        <f t="shared" si="1"/>
        <v>3139.83871</v>
      </c>
      <c r="C20" s="6">
        <v>3467.0938000000001</v>
      </c>
      <c r="D20" s="14">
        <f t="shared" si="0"/>
        <v>29452.958100000011</v>
      </c>
    </row>
    <row r="21" spans="1:4" x14ac:dyDescent="0.25">
      <c r="A21" s="8">
        <v>45975</v>
      </c>
      <c r="B21" s="13">
        <f t="shared" si="1"/>
        <v>3467.0938000000001</v>
      </c>
      <c r="C21" s="6">
        <v>3799.25983</v>
      </c>
      <c r="D21" s="14">
        <f t="shared" si="0"/>
        <v>29894.942699999989</v>
      </c>
    </row>
    <row r="22" spans="1:4" x14ac:dyDescent="0.25">
      <c r="A22" s="8">
        <v>45976</v>
      </c>
      <c r="B22" s="13">
        <f t="shared" si="1"/>
        <v>3799.25983</v>
      </c>
      <c r="C22" s="6">
        <v>4136.2410399999999</v>
      </c>
      <c r="D22" s="14">
        <f t="shared" si="0"/>
        <v>30328.308899999993</v>
      </c>
    </row>
    <row r="23" spans="1:4" x14ac:dyDescent="0.25">
      <c r="A23" s="8">
        <v>45977</v>
      </c>
      <c r="B23" s="13">
        <f t="shared" si="1"/>
        <v>4136.2410399999999</v>
      </c>
      <c r="C23" s="6">
        <v>4462.7568499999998</v>
      </c>
      <c r="D23" s="14">
        <f t="shared" si="0"/>
        <v>29386.42289999999</v>
      </c>
    </row>
    <row r="24" spans="1:4" x14ac:dyDescent="0.25">
      <c r="A24" s="8">
        <v>45978</v>
      </c>
      <c r="B24" s="13">
        <f t="shared" si="1"/>
        <v>4462.7568499999998</v>
      </c>
      <c r="C24" s="6">
        <v>4763.6037100000003</v>
      </c>
      <c r="D24" s="14">
        <f t="shared" si="0"/>
        <v>27076.217400000052</v>
      </c>
    </row>
    <row r="25" spans="1:4" x14ac:dyDescent="0.25">
      <c r="A25" s="8">
        <v>45979</v>
      </c>
      <c r="B25" s="13">
        <v>4763.6037100000003</v>
      </c>
      <c r="C25" s="6">
        <v>5087.9138800000001</v>
      </c>
      <c r="D25" s="14">
        <f t="shared" si="0"/>
        <v>29187.915299999979</v>
      </c>
    </row>
    <row r="26" spans="1:4" x14ac:dyDescent="0.25">
      <c r="A26" s="8">
        <v>45980</v>
      </c>
      <c r="B26" s="13">
        <f>C25</f>
        <v>5087.9138800000001</v>
      </c>
      <c r="C26" s="6">
        <v>5397.8436499999998</v>
      </c>
      <c r="D26" s="14">
        <f t="shared" si="0"/>
        <v>27893.679299999974</v>
      </c>
    </row>
    <row r="27" spans="1:4" x14ac:dyDescent="0.25">
      <c r="A27" s="8">
        <v>45981</v>
      </c>
      <c r="B27" s="13">
        <f>C26</f>
        <v>5397.8436499999998</v>
      </c>
      <c r="C27" s="6">
        <v>5705.4216200000001</v>
      </c>
      <c r="D27" s="14">
        <f t="shared" si="0"/>
        <v>27682.017300000025</v>
      </c>
    </row>
    <row r="28" spans="1:4" x14ac:dyDescent="0.25">
      <c r="A28" s="8">
        <v>45982</v>
      </c>
      <c r="B28" s="13">
        <f>C27</f>
        <v>5705.4216200000001</v>
      </c>
      <c r="C28" s="6">
        <v>6035.3007200000002</v>
      </c>
      <c r="D28" s="14">
        <f t="shared" si="0"/>
        <v>29689.11900000001</v>
      </c>
    </row>
    <row r="29" spans="1:4" x14ac:dyDescent="0.25">
      <c r="A29" s="8">
        <v>45983</v>
      </c>
      <c r="B29" s="13">
        <f t="shared" ref="B29:B37" si="2">C28</f>
        <v>6035.3007200000002</v>
      </c>
      <c r="C29" s="6">
        <v>6380.55933</v>
      </c>
      <c r="D29" s="14">
        <f t="shared" si="0"/>
        <v>31073.274899999989</v>
      </c>
    </row>
    <row r="30" spans="1:4" x14ac:dyDescent="0.25">
      <c r="A30" s="8">
        <v>45984</v>
      </c>
      <c r="B30" s="13">
        <f t="shared" si="2"/>
        <v>6380.55933</v>
      </c>
      <c r="C30" s="6">
        <v>6679.18649</v>
      </c>
      <c r="D30" s="14">
        <f t="shared" si="0"/>
        <v>26876.4444</v>
      </c>
    </row>
    <row r="31" spans="1:4" x14ac:dyDescent="0.25">
      <c r="A31" s="8">
        <v>45985</v>
      </c>
      <c r="B31" s="13">
        <f t="shared" si="2"/>
        <v>6679.18649</v>
      </c>
      <c r="C31" s="6">
        <v>6968.9810200000002</v>
      </c>
      <c r="D31" s="14">
        <f t="shared" si="0"/>
        <v>26081.507700000009</v>
      </c>
    </row>
    <row r="32" spans="1:4" x14ac:dyDescent="0.25">
      <c r="A32" s="8">
        <v>45986</v>
      </c>
      <c r="B32" s="13">
        <f t="shared" si="2"/>
        <v>6968.9810200000002</v>
      </c>
      <c r="C32" s="6">
        <v>7242.0386799999997</v>
      </c>
      <c r="D32" s="14">
        <f t="shared" si="0"/>
        <v>24575.189399999952</v>
      </c>
    </row>
    <row r="33" spans="1:4" x14ac:dyDescent="0.25">
      <c r="A33" s="8">
        <v>45987</v>
      </c>
      <c r="B33" s="13">
        <f t="shared" si="2"/>
        <v>7242.0386799999997</v>
      </c>
      <c r="C33" s="6">
        <v>7491.2339700000002</v>
      </c>
      <c r="D33" s="14">
        <f t="shared" si="0"/>
        <v>22427.576100000049</v>
      </c>
    </row>
    <row r="34" spans="1:4" x14ac:dyDescent="0.25">
      <c r="A34" s="8">
        <v>45988</v>
      </c>
      <c r="B34" s="13">
        <f t="shared" si="2"/>
        <v>7491.2339700000002</v>
      </c>
      <c r="C34" s="6">
        <v>7715.6794600000003</v>
      </c>
      <c r="D34" s="14">
        <f t="shared" si="0"/>
        <v>20200.094100000006</v>
      </c>
    </row>
    <row r="35" spans="1:4" x14ac:dyDescent="0.25">
      <c r="A35" s="8">
        <v>45989</v>
      </c>
      <c r="B35" s="13">
        <f t="shared" si="2"/>
        <v>7715.6794600000003</v>
      </c>
      <c r="C35" s="7">
        <v>8037.8285500000002</v>
      </c>
      <c r="D35" s="14">
        <f t="shared" si="0"/>
        <v>28993.418099999988</v>
      </c>
    </row>
    <row r="36" spans="1:4" x14ac:dyDescent="0.25">
      <c r="A36" s="8">
        <v>45990</v>
      </c>
      <c r="B36" s="13">
        <f t="shared" si="2"/>
        <v>8037.8285500000002</v>
      </c>
      <c r="C36" s="7">
        <v>8349.76116</v>
      </c>
      <c r="D36" s="14">
        <f t="shared" si="0"/>
        <v>28073.934899999986</v>
      </c>
    </row>
    <row r="37" spans="1:4" ht="15.75" thickBot="1" x14ac:dyDescent="0.3">
      <c r="A37" s="9">
        <v>45991</v>
      </c>
      <c r="B37" s="15">
        <f t="shared" si="2"/>
        <v>8349.76116</v>
      </c>
      <c r="C37" s="16">
        <v>8646.5619999999999</v>
      </c>
      <c r="D37" s="17">
        <f t="shared" si="0"/>
        <v>26712.075599999989</v>
      </c>
    </row>
    <row r="38" spans="1:4" ht="15.75" thickBot="1" x14ac:dyDescent="0.3">
      <c r="A38" s="3"/>
      <c r="B38" s="4"/>
      <c r="C38" s="5" t="s">
        <v>5</v>
      </c>
      <c r="D38" s="18">
        <f>SUM(D8:D37)</f>
        <v>773492.37029999995</v>
      </c>
    </row>
  </sheetData>
  <mergeCells count="7">
    <mergeCell ref="A2:D2"/>
    <mergeCell ref="A4:A6"/>
    <mergeCell ref="A1:D1"/>
    <mergeCell ref="B3:D3"/>
    <mergeCell ref="B4:B6"/>
    <mergeCell ref="C4:C6"/>
    <mergeCell ref="D4:D6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C0872-7402-448F-933D-50E60BE12625}">
  <dimension ref="A1:D38"/>
  <sheetViews>
    <sheetView workbookViewId="0">
      <selection activeCell="K11" sqref="K11"/>
    </sheetView>
  </sheetViews>
  <sheetFormatPr defaultRowHeight="15" x14ac:dyDescent="0.25"/>
  <cols>
    <col min="2" max="2" width="10.42578125" bestFit="1" customWidth="1"/>
    <col min="3" max="3" width="8.42578125" bestFit="1" customWidth="1"/>
    <col min="4" max="4" width="16.140625" customWidth="1"/>
  </cols>
  <sheetData>
    <row r="1" spans="1:4" ht="16.5" thickBot="1" x14ac:dyDescent="0.3">
      <c r="A1" s="49" t="s">
        <v>7</v>
      </c>
      <c r="B1" s="50"/>
      <c r="C1" s="50"/>
      <c r="D1" s="51"/>
    </row>
    <row r="2" spans="1:4" ht="19.5" thickBot="1" x14ac:dyDescent="0.3">
      <c r="A2" s="44" t="s">
        <v>6</v>
      </c>
      <c r="B2" s="45"/>
      <c r="C2" s="45"/>
      <c r="D2" s="46"/>
    </row>
    <row r="3" spans="1:4" ht="15.75" thickBot="1" x14ac:dyDescent="0.3">
      <c r="A3" s="2"/>
      <c r="B3" s="58" t="s">
        <v>1</v>
      </c>
      <c r="C3" s="58"/>
      <c r="D3" s="58"/>
    </row>
    <row r="4" spans="1:4" x14ac:dyDescent="0.25">
      <c r="A4" s="59" t="s">
        <v>0</v>
      </c>
      <c r="B4" s="62" t="s">
        <v>2</v>
      </c>
      <c r="C4" s="62" t="s">
        <v>3</v>
      </c>
      <c r="D4" s="65" t="s">
        <v>4</v>
      </c>
    </row>
    <row r="5" spans="1:4" x14ac:dyDescent="0.25">
      <c r="A5" s="60"/>
      <c r="B5" s="63"/>
      <c r="C5" s="63"/>
      <c r="D5" s="66"/>
    </row>
    <row r="6" spans="1:4" ht="15.75" thickBot="1" x14ac:dyDescent="0.3">
      <c r="A6" s="61"/>
      <c r="B6" s="64"/>
      <c r="C6" s="64"/>
      <c r="D6" s="67"/>
    </row>
    <row r="7" spans="1:4" x14ac:dyDescent="0.25">
      <c r="A7" s="20">
        <v>45992</v>
      </c>
      <c r="B7" s="22">
        <v>8646.5619999999999</v>
      </c>
      <c r="C7" s="23">
        <v>8941.3844100000006</v>
      </c>
      <c r="D7" s="24">
        <f>(C7-B7)*90</f>
        <v>26534.016900000061</v>
      </c>
    </row>
    <row r="8" spans="1:4" x14ac:dyDescent="0.25">
      <c r="A8" s="19">
        <v>45993</v>
      </c>
      <c r="B8" s="7">
        <f>C7</f>
        <v>8941.3844100000006</v>
      </c>
      <c r="C8" s="6">
        <v>9287.4680700000008</v>
      </c>
      <c r="D8" s="21">
        <f>(C8-B8)*90</f>
        <v>31147.529400000021</v>
      </c>
    </row>
    <row r="9" spans="1:4" x14ac:dyDescent="0.25">
      <c r="A9" s="19">
        <v>45994</v>
      </c>
      <c r="B9" s="7">
        <f>C8</f>
        <v>9287.4680700000008</v>
      </c>
      <c r="C9" s="6">
        <v>9644.8623900000002</v>
      </c>
      <c r="D9" s="21">
        <f>(C9-B9)*90</f>
        <v>32165.488799999948</v>
      </c>
    </row>
    <row r="10" spans="1:4" x14ac:dyDescent="0.25">
      <c r="A10" s="19">
        <v>45995</v>
      </c>
      <c r="B10" s="6">
        <f>C9</f>
        <v>9644.8623900000002</v>
      </c>
      <c r="C10" s="6">
        <v>10028.38319</v>
      </c>
      <c r="D10" s="21">
        <f>(C10-B10)*90</f>
        <v>34516.872000000018</v>
      </c>
    </row>
    <row r="11" spans="1:4" x14ac:dyDescent="0.25">
      <c r="A11" s="19">
        <v>45996</v>
      </c>
      <c r="B11" s="6">
        <f>C10</f>
        <v>10028.38319</v>
      </c>
      <c r="C11" s="6">
        <v>10499.438330000001</v>
      </c>
      <c r="D11" s="21">
        <f>(C11-B11)*90</f>
        <v>42394.962600000035</v>
      </c>
    </row>
    <row r="12" spans="1:4" x14ac:dyDescent="0.25">
      <c r="A12" s="19">
        <v>45997</v>
      </c>
      <c r="B12" s="6">
        <f>C11</f>
        <v>10499.438330000001</v>
      </c>
      <c r="C12" s="6">
        <v>10978.156489999999</v>
      </c>
      <c r="D12" s="21">
        <f t="shared" ref="D12:D37" si="0">(C12-B12)*90</f>
        <v>43084.634399999864</v>
      </c>
    </row>
    <row r="13" spans="1:4" x14ac:dyDescent="0.25">
      <c r="A13" s="19">
        <v>45998</v>
      </c>
      <c r="B13" s="7">
        <f t="shared" ref="B13:B30" si="1">C12</f>
        <v>10978.156489999999</v>
      </c>
      <c r="C13" s="6">
        <v>11465.908380000001</v>
      </c>
      <c r="D13" s="21">
        <f t="shared" si="0"/>
        <v>43897.670100000119</v>
      </c>
    </row>
    <row r="14" spans="1:4" x14ac:dyDescent="0.25">
      <c r="A14" s="19">
        <v>45999</v>
      </c>
      <c r="B14" s="7">
        <f t="shared" si="1"/>
        <v>11465.908380000001</v>
      </c>
      <c r="C14" s="6">
        <v>11983.16635</v>
      </c>
      <c r="D14" s="21">
        <f t="shared" si="0"/>
        <v>46553.217299999887</v>
      </c>
    </row>
    <row r="15" spans="1:4" x14ac:dyDescent="0.25">
      <c r="A15" s="19">
        <v>46000</v>
      </c>
      <c r="B15" s="7">
        <f t="shared" si="1"/>
        <v>11983.16635</v>
      </c>
      <c r="C15" s="6">
        <v>12514.262500000001</v>
      </c>
      <c r="D15" s="21">
        <f t="shared" si="0"/>
        <v>47798.653500000109</v>
      </c>
    </row>
    <row r="16" spans="1:4" x14ac:dyDescent="0.25">
      <c r="A16" s="19">
        <v>46001</v>
      </c>
      <c r="B16" s="7">
        <f t="shared" si="1"/>
        <v>12514.262500000001</v>
      </c>
      <c r="C16" s="6">
        <v>13043.277770000001</v>
      </c>
      <c r="D16" s="21">
        <f t="shared" si="0"/>
        <v>47611.374299999989</v>
      </c>
    </row>
    <row r="17" spans="1:4" x14ac:dyDescent="0.25">
      <c r="A17" s="19">
        <v>46002</v>
      </c>
      <c r="B17" s="7">
        <f t="shared" si="1"/>
        <v>13043.277770000001</v>
      </c>
      <c r="C17" s="6">
        <v>13553.457249999999</v>
      </c>
      <c r="D17" s="21">
        <f t="shared" si="0"/>
        <v>45916.153199999899</v>
      </c>
    </row>
    <row r="18" spans="1:4" x14ac:dyDescent="0.25">
      <c r="A18" s="19">
        <v>46003</v>
      </c>
      <c r="B18" s="7">
        <f t="shared" si="1"/>
        <v>13553.457249999999</v>
      </c>
      <c r="C18" s="6">
        <v>14038.756079999999</v>
      </c>
      <c r="D18" s="21">
        <f t="shared" si="0"/>
        <v>43676.894699999975</v>
      </c>
    </row>
    <row r="19" spans="1:4" x14ac:dyDescent="0.25">
      <c r="A19" s="19">
        <v>46004</v>
      </c>
      <c r="B19" s="7">
        <f t="shared" si="1"/>
        <v>14038.756079999999</v>
      </c>
      <c r="C19" s="6">
        <v>14524.8552</v>
      </c>
      <c r="D19" s="21">
        <f t="shared" si="0"/>
        <v>43748.920800000065</v>
      </c>
    </row>
    <row r="20" spans="1:4" x14ac:dyDescent="0.25">
      <c r="A20" s="19">
        <v>46005</v>
      </c>
      <c r="B20" s="7">
        <f t="shared" si="1"/>
        <v>14524.8552</v>
      </c>
      <c r="C20" s="6">
        <v>15026.391229999999</v>
      </c>
      <c r="D20" s="21">
        <f t="shared" si="0"/>
        <v>45138.242699999937</v>
      </c>
    </row>
    <row r="21" spans="1:4" x14ac:dyDescent="0.25">
      <c r="A21" s="19">
        <v>46006</v>
      </c>
      <c r="B21" s="7">
        <f t="shared" si="1"/>
        <v>15026.391229999999</v>
      </c>
      <c r="C21" s="6">
        <v>15474.03283</v>
      </c>
      <c r="D21" s="21">
        <f t="shared" si="0"/>
        <v>40287.744000000079</v>
      </c>
    </row>
    <row r="22" spans="1:4" x14ac:dyDescent="0.25">
      <c r="A22" s="19">
        <v>46007</v>
      </c>
      <c r="B22" s="7">
        <f t="shared" si="1"/>
        <v>15474.03283</v>
      </c>
      <c r="C22" s="6">
        <v>15910.49042</v>
      </c>
      <c r="D22" s="21">
        <f t="shared" si="0"/>
        <v>39281.183099999995</v>
      </c>
    </row>
    <row r="23" spans="1:4" x14ac:dyDescent="0.25">
      <c r="A23" s="19">
        <v>46008</v>
      </c>
      <c r="B23" s="25">
        <f t="shared" si="1"/>
        <v>15910.49042</v>
      </c>
      <c r="C23" s="26">
        <v>16388.465609999999</v>
      </c>
      <c r="D23" s="27">
        <f t="shared" si="0"/>
        <v>43017.767099999925</v>
      </c>
    </row>
    <row r="24" spans="1:4" x14ac:dyDescent="0.25">
      <c r="A24" s="19">
        <v>46009</v>
      </c>
      <c r="B24" s="25">
        <f t="shared" si="1"/>
        <v>16388.465609999999</v>
      </c>
      <c r="C24" s="26">
        <v>16911.94369</v>
      </c>
      <c r="D24" s="27">
        <f t="shared" si="0"/>
        <v>47113.02720000007</v>
      </c>
    </row>
    <row r="25" spans="1:4" x14ac:dyDescent="0.25">
      <c r="A25" s="19">
        <v>46010</v>
      </c>
      <c r="B25" s="25">
        <f t="shared" si="1"/>
        <v>16911.94369</v>
      </c>
      <c r="C25" s="26">
        <v>17428.799439999999</v>
      </c>
      <c r="D25" s="27">
        <f t="shared" si="0"/>
        <v>46517.017499999893</v>
      </c>
    </row>
    <row r="26" spans="1:4" x14ac:dyDescent="0.25">
      <c r="A26" s="19">
        <v>46011</v>
      </c>
      <c r="B26" s="7">
        <f t="shared" si="1"/>
        <v>17428.799439999999</v>
      </c>
      <c r="C26" s="6">
        <v>17937.29694</v>
      </c>
      <c r="D26" s="21">
        <f t="shared" si="0"/>
        <v>45764.775000000118</v>
      </c>
    </row>
    <row r="27" spans="1:4" x14ac:dyDescent="0.25">
      <c r="A27" s="19">
        <v>46012</v>
      </c>
      <c r="B27" s="25">
        <f t="shared" si="1"/>
        <v>17937.29694</v>
      </c>
      <c r="C27" s="26">
        <v>18404.872360000001</v>
      </c>
      <c r="D27" s="27">
        <f t="shared" si="0"/>
        <v>42081.787800000093</v>
      </c>
    </row>
    <row r="28" spans="1:4" x14ac:dyDescent="0.25">
      <c r="A28" s="19">
        <v>46013</v>
      </c>
      <c r="B28" s="25">
        <f t="shared" si="1"/>
        <v>18404.872360000001</v>
      </c>
      <c r="C28" s="26">
        <v>18875.6751</v>
      </c>
      <c r="D28" s="27">
        <f t="shared" si="0"/>
        <v>42372.246599999926</v>
      </c>
    </row>
    <row r="29" spans="1:4" x14ac:dyDescent="0.25">
      <c r="A29" s="19">
        <v>46014</v>
      </c>
      <c r="B29" s="7">
        <f t="shared" si="1"/>
        <v>18875.6751</v>
      </c>
      <c r="C29" s="6">
        <v>19388.9031</v>
      </c>
      <c r="D29" s="21">
        <f t="shared" si="0"/>
        <v>46190.519999999924</v>
      </c>
    </row>
    <row r="30" spans="1:4" x14ac:dyDescent="0.25">
      <c r="A30" s="19">
        <v>46015</v>
      </c>
      <c r="B30" s="25">
        <f t="shared" si="1"/>
        <v>19388.9031</v>
      </c>
      <c r="C30" s="26">
        <v>19853.193869999999</v>
      </c>
      <c r="D30" s="27">
        <f t="shared" si="0"/>
        <v>41786.169299999965</v>
      </c>
    </row>
    <row r="31" spans="1:4" x14ac:dyDescent="0.25">
      <c r="A31" s="19">
        <v>46016</v>
      </c>
      <c r="B31" s="26">
        <f t="shared" ref="B31:B37" si="2">C30</f>
        <v>19853.193869999999</v>
      </c>
      <c r="C31" s="26">
        <v>20338.174660000001</v>
      </c>
      <c r="D31" s="27">
        <f t="shared" si="0"/>
        <v>43648.271100000129</v>
      </c>
    </row>
    <row r="32" spans="1:4" x14ac:dyDescent="0.25">
      <c r="A32" s="19">
        <v>46017</v>
      </c>
      <c r="B32" s="26">
        <f t="shared" si="2"/>
        <v>20338.174660000001</v>
      </c>
      <c r="C32" s="26">
        <v>20820.307789999999</v>
      </c>
      <c r="D32" s="27">
        <f t="shared" si="0"/>
        <v>43391.981699999851</v>
      </c>
    </row>
    <row r="33" spans="1:4" x14ac:dyDescent="0.25">
      <c r="A33" s="19">
        <v>46018</v>
      </c>
      <c r="B33" s="26">
        <f t="shared" si="2"/>
        <v>20820.307789999999</v>
      </c>
      <c r="C33" s="26">
        <v>21307.449390000002</v>
      </c>
      <c r="D33" s="27">
        <f t="shared" si="0"/>
        <v>43842.744000000239</v>
      </c>
    </row>
    <row r="34" spans="1:4" x14ac:dyDescent="0.25">
      <c r="A34" s="19">
        <v>46019</v>
      </c>
      <c r="B34" s="26">
        <f t="shared" si="2"/>
        <v>21307.449390000002</v>
      </c>
      <c r="C34" s="26">
        <v>21802.52908</v>
      </c>
      <c r="D34" s="27">
        <f t="shared" si="0"/>
        <v>44557.17209999988</v>
      </c>
    </row>
    <row r="35" spans="1:4" x14ac:dyDescent="0.25">
      <c r="A35" s="19">
        <v>46020</v>
      </c>
      <c r="B35" s="26">
        <f t="shared" si="2"/>
        <v>21802.52908</v>
      </c>
      <c r="C35" s="26">
        <v>22307.49811</v>
      </c>
      <c r="D35" s="27">
        <f t="shared" si="0"/>
        <v>45447.212700000018</v>
      </c>
    </row>
    <row r="36" spans="1:4" x14ac:dyDescent="0.25">
      <c r="A36" s="19">
        <v>46021</v>
      </c>
      <c r="B36" s="26">
        <f t="shared" si="2"/>
        <v>22307.49811</v>
      </c>
      <c r="C36" s="26">
        <v>22821.520100000002</v>
      </c>
      <c r="D36" s="27">
        <f t="shared" si="0"/>
        <v>46261.979100000099</v>
      </c>
    </row>
    <row r="37" spans="1:4" x14ac:dyDescent="0.25">
      <c r="A37" s="19">
        <v>46022</v>
      </c>
      <c r="B37" s="6">
        <f t="shared" si="2"/>
        <v>22821.520100000002</v>
      </c>
      <c r="C37" s="6">
        <v>23303.934249999998</v>
      </c>
      <c r="D37" s="21">
        <f t="shared" si="0"/>
        <v>43417.273499999719</v>
      </c>
    </row>
    <row r="38" spans="1:4" ht="15.75" thickBot="1" x14ac:dyDescent="0.3">
      <c r="A38" s="3"/>
      <c r="B38" s="4"/>
      <c r="C38" s="5" t="s">
        <v>5</v>
      </c>
      <c r="D38" s="18">
        <f>SUM(D7:D37)</f>
        <v>1319163.5024999997</v>
      </c>
    </row>
  </sheetData>
  <mergeCells count="7">
    <mergeCell ref="A1:D1"/>
    <mergeCell ref="A2:D2"/>
    <mergeCell ref="B3:D3"/>
    <mergeCell ref="A4:A6"/>
    <mergeCell ref="B4:B6"/>
    <mergeCell ref="C4:C6"/>
    <mergeCell ref="D4:D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0E9D3-10CE-465A-B90D-D6539BCEFFA2}">
  <dimension ref="A1:D38"/>
  <sheetViews>
    <sheetView topLeftCell="A13" workbookViewId="0">
      <selection activeCell="F38" sqref="F38"/>
    </sheetView>
  </sheetViews>
  <sheetFormatPr defaultRowHeight="15" x14ac:dyDescent="0.25"/>
  <cols>
    <col min="2" max="2" width="9.42578125" bestFit="1" customWidth="1"/>
    <col min="3" max="3" width="8.42578125" bestFit="1" customWidth="1"/>
    <col min="4" max="4" width="11.5703125" bestFit="1" customWidth="1"/>
  </cols>
  <sheetData>
    <row r="1" spans="1:4" ht="16.5" thickBot="1" x14ac:dyDescent="0.3">
      <c r="A1" s="49" t="s">
        <v>7</v>
      </c>
      <c r="B1" s="50"/>
      <c r="C1" s="50"/>
      <c r="D1" s="51"/>
    </row>
    <row r="2" spans="1:4" ht="19.5" thickBot="1" x14ac:dyDescent="0.3">
      <c r="A2" s="44" t="s">
        <v>6</v>
      </c>
      <c r="B2" s="45"/>
      <c r="C2" s="45"/>
      <c r="D2" s="46"/>
    </row>
    <row r="3" spans="1:4" ht="15.75" thickBot="1" x14ac:dyDescent="0.3">
      <c r="A3" s="2"/>
      <c r="B3" s="58" t="s">
        <v>1</v>
      </c>
      <c r="C3" s="58"/>
      <c r="D3" s="58"/>
    </row>
    <row r="4" spans="1:4" x14ac:dyDescent="0.25">
      <c r="A4" s="59" t="s">
        <v>0</v>
      </c>
      <c r="B4" s="62" t="s">
        <v>2</v>
      </c>
      <c r="C4" s="62" t="s">
        <v>3</v>
      </c>
      <c r="D4" s="65" t="s">
        <v>4</v>
      </c>
    </row>
    <row r="5" spans="1:4" x14ac:dyDescent="0.25">
      <c r="A5" s="60"/>
      <c r="B5" s="63"/>
      <c r="C5" s="63"/>
      <c r="D5" s="66"/>
    </row>
    <row r="6" spans="1:4" ht="15.75" thickBot="1" x14ac:dyDescent="0.3">
      <c r="A6" s="61"/>
      <c r="B6" s="64"/>
      <c r="C6" s="64"/>
      <c r="D6" s="67"/>
    </row>
    <row r="7" spans="1:4" x14ac:dyDescent="0.25">
      <c r="A7" s="20">
        <v>46023</v>
      </c>
      <c r="B7" s="28">
        <v>23303.934249999998</v>
      </c>
      <c r="C7" s="29">
        <v>23714.12485</v>
      </c>
      <c r="D7" s="30">
        <f t="shared" ref="D7:D32" si="0">(C7-B7)*90</f>
        <v>36917.154000000155</v>
      </c>
    </row>
    <row r="8" spans="1:4" x14ac:dyDescent="0.25">
      <c r="A8" s="20">
        <v>46024</v>
      </c>
      <c r="B8" s="25">
        <f>C7</f>
        <v>23714.12485</v>
      </c>
      <c r="C8" s="26">
        <v>24045.910179999999</v>
      </c>
      <c r="D8" s="27">
        <f t="shared" si="0"/>
        <v>29860.679699999891</v>
      </c>
    </row>
    <row r="9" spans="1:4" x14ac:dyDescent="0.25">
      <c r="A9" s="20">
        <v>46025</v>
      </c>
      <c r="B9" s="25">
        <f>C8</f>
        <v>24045.910179999999</v>
      </c>
      <c r="C9" s="26">
        <v>24397.617920000001</v>
      </c>
      <c r="D9" s="27">
        <f t="shared" si="0"/>
        <v>31653.696600000148</v>
      </c>
    </row>
    <row r="10" spans="1:4" x14ac:dyDescent="0.25">
      <c r="A10" s="20">
        <v>46026</v>
      </c>
      <c r="B10" s="25">
        <f>C9</f>
        <v>24397.617920000001</v>
      </c>
      <c r="C10" s="26">
        <v>24760.953799999999</v>
      </c>
      <c r="D10" s="27">
        <f t="shared" si="0"/>
        <v>32700.229199999885</v>
      </c>
    </row>
    <row r="11" spans="1:4" x14ac:dyDescent="0.25">
      <c r="A11" s="20">
        <v>46027</v>
      </c>
      <c r="B11" s="25">
        <f>C10</f>
        <v>24760.953799999999</v>
      </c>
      <c r="C11" s="26">
        <v>25133.340769999999</v>
      </c>
      <c r="D11" s="27">
        <f t="shared" si="0"/>
        <v>33514.827299999961</v>
      </c>
    </row>
    <row r="12" spans="1:4" x14ac:dyDescent="0.25">
      <c r="A12" s="20">
        <v>46028</v>
      </c>
      <c r="B12" s="25">
        <f>C11</f>
        <v>25133.340769999999</v>
      </c>
      <c r="C12" s="26">
        <v>25658.334360000001</v>
      </c>
      <c r="D12" s="27">
        <f t="shared" si="0"/>
        <v>47249.423100000167</v>
      </c>
    </row>
    <row r="13" spans="1:4" x14ac:dyDescent="0.25">
      <c r="A13" s="20">
        <v>46029</v>
      </c>
      <c r="B13" s="25">
        <f t="shared" ref="B13:B14" si="1">C12</f>
        <v>25658.334360000001</v>
      </c>
      <c r="C13" s="26">
        <v>26152.391950000001</v>
      </c>
      <c r="D13" s="27">
        <f t="shared" si="0"/>
        <v>44465.183100000031</v>
      </c>
    </row>
    <row r="14" spans="1:4" x14ac:dyDescent="0.25">
      <c r="A14" s="20">
        <v>46030</v>
      </c>
      <c r="B14" s="25">
        <f t="shared" si="1"/>
        <v>26152.391950000001</v>
      </c>
      <c r="C14" s="26">
        <v>26616.377499999999</v>
      </c>
      <c r="D14" s="27">
        <f t="shared" si="0"/>
        <v>41758.699499999784</v>
      </c>
    </row>
    <row r="15" spans="1:4" x14ac:dyDescent="0.25">
      <c r="A15" s="20">
        <v>46031</v>
      </c>
      <c r="B15" s="25">
        <v>26616.377499999999</v>
      </c>
      <c r="C15" s="26">
        <v>27080.351040000001</v>
      </c>
      <c r="D15" s="27">
        <f t="shared" si="0"/>
        <v>41757.618600000242</v>
      </c>
    </row>
    <row r="16" spans="1:4" x14ac:dyDescent="0.25">
      <c r="A16" s="20">
        <v>46032</v>
      </c>
      <c r="B16" s="25">
        <f>C15</f>
        <v>27080.351040000001</v>
      </c>
      <c r="C16" s="26">
        <v>27576.227370000001</v>
      </c>
      <c r="D16" s="27">
        <f t="shared" si="0"/>
        <v>44628.869699999923</v>
      </c>
    </row>
    <row r="17" spans="1:4" x14ac:dyDescent="0.25">
      <c r="A17" s="20">
        <v>46033</v>
      </c>
      <c r="B17" s="25">
        <f>C16</f>
        <v>27576.227370000001</v>
      </c>
      <c r="C17" s="26">
        <v>28053.418010000001</v>
      </c>
      <c r="D17" s="27">
        <f t="shared" si="0"/>
        <v>42947.157600000064</v>
      </c>
    </row>
    <row r="18" spans="1:4" x14ac:dyDescent="0.25">
      <c r="A18" s="20">
        <v>46034</v>
      </c>
      <c r="B18" s="25">
        <f>C17</f>
        <v>28053.418010000001</v>
      </c>
      <c r="C18" s="26">
        <v>28540.120220000001</v>
      </c>
      <c r="D18" s="27">
        <f t="shared" si="0"/>
        <v>43803.198899999952</v>
      </c>
    </row>
    <row r="19" spans="1:4" x14ac:dyDescent="0.25">
      <c r="A19" s="20">
        <v>46035</v>
      </c>
      <c r="B19" s="25">
        <f>C18</f>
        <v>28540.120220000001</v>
      </c>
      <c r="C19" s="26">
        <v>29014.733540000001</v>
      </c>
      <c r="D19" s="27">
        <f t="shared" si="0"/>
        <v>42715.198800000035</v>
      </c>
    </row>
    <row r="20" spans="1:4" x14ac:dyDescent="0.25">
      <c r="A20" s="20">
        <v>46036</v>
      </c>
      <c r="B20" s="25">
        <f>C19</f>
        <v>29014.733540000001</v>
      </c>
      <c r="C20" s="26">
        <v>29410.792130000002</v>
      </c>
      <c r="D20" s="27">
        <f t="shared" si="0"/>
        <v>35645.273100000049</v>
      </c>
    </row>
    <row r="21" spans="1:4" x14ac:dyDescent="0.25">
      <c r="A21" s="20">
        <v>46037</v>
      </c>
      <c r="B21" s="25">
        <f t="shared" ref="B21:B32" si="2">C20</f>
        <v>29410.792130000002</v>
      </c>
      <c r="C21" s="26">
        <v>29894.704089999999</v>
      </c>
      <c r="D21" s="27">
        <f t="shared" si="0"/>
        <v>43552.076399999787</v>
      </c>
    </row>
    <row r="22" spans="1:4" x14ac:dyDescent="0.25">
      <c r="A22" s="20">
        <v>46038</v>
      </c>
      <c r="B22" s="25">
        <f t="shared" si="2"/>
        <v>29894.704089999999</v>
      </c>
      <c r="C22" s="26">
        <v>30405.824570000001</v>
      </c>
      <c r="D22" s="27">
        <f t="shared" si="0"/>
        <v>46000.843200000127</v>
      </c>
    </row>
    <row r="23" spans="1:4" x14ac:dyDescent="0.25">
      <c r="A23" s="20">
        <v>46039</v>
      </c>
      <c r="B23" s="25">
        <f t="shared" si="2"/>
        <v>30405.824570000001</v>
      </c>
      <c r="C23" s="26">
        <v>30921.66231</v>
      </c>
      <c r="D23" s="27">
        <f t="shared" si="0"/>
        <v>46425.396599999913</v>
      </c>
    </row>
    <row r="24" spans="1:4" x14ac:dyDescent="0.25">
      <c r="A24" s="20">
        <v>46040</v>
      </c>
      <c r="B24" s="25">
        <f t="shared" si="2"/>
        <v>30921.66231</v>
      </c>
      <c r="C24" s="26">
        <v>31404.485349999999</v>
      </c>
      <c r="D24" s="27">
        <f t="shared" si="0"/>
        <v>43454.073599999938</v>
      </c>
    </row>
    <row r="25" spans="1:4" x14ac:dyDescent="0.25">
      <c r="A25" s="20">
        <v>46041</v>
      </c>
      <c r="B25" s="25">
        <f t="shared" si="2"/>
        <v>31404.485349999999</v>
      </c>
      <c r="C25" s="26">
        <v>31847.424470000002</v>
      </c>
      <c r="D25" s="27">
        <f t="shared" si="0"/>
        <v>39864.520800000246</v>
      </c>
    </row>
    <row r="26" spans="1:4" x14ac:dyDescent="0.25">
      <c r="A26" s="20">
        <v>46042</v>
      </c>
      <c r="B26" s="25">
        <f t="shared" si="2"/>
        <v>31847.424470000002</v>
      </c>
      <c r="C26" s="26">
        <v>32283.32043</v>
      </c>
      <c r="D26" s="27">
        <f t="shared" si="0"/>
        <v>39230.636399999821</v>
      </c>
    </row>
    <row r="27" spans="1:4" x14ac:dyDescent="0.25">
      <c r="A27" s="20">
        <v>46043</v>
      </c>
      <c r="B27" s="25">
        <f t="shared" si="2"/>
        <v>32283.32043</v>
      </c>
      <c r="C27" s="26">
        <v>32699.180270000001</v>
      </c>
      <c r="D27" s="27">
        <f t="shared" si="0"/>
        <v>37427.385600000089</v>
      </c>
    </row>
    <row r="28" spans="1:4" x14ac:dyDescent="0.25">
      <c r="A28" s="20">
        <v>46044</v>
      </c>
      <c r="B28" s="25">
        <f t="shared" si="2"/>
        <v>32699.180270000001</v>
      </c>
      <c r="C28" s="26">
        <v>33121.376819999998</v>
      </c>
      <c r="D28" s="27">
        <f t="shared" si="0"/>
        <v>37997.689499999724</v>
      </c>
    </row>
    <row r="29" spans="1:4" x14ac:dyDescent="0.25">
      <c r="A29" s="20">
        <v>46045</v>
      </c>
      <c r="B29" s="25">
        <f t="shared" si="2"/>
        <v>33121.376819999998</v>
      </c>
      <c r="C29" s="26">
        <v>33529.125749999999</v>
      </c>
      <c r="D29" s="27">
        <f t="shared" si="0"/>
        <v>36697.403700000141</v>
      </c>
    </row>
    <row r="30" spans="1:4" x14ac:dyDescent="0.25">
      <c r="A30" s="20">
        <v>46046</v>
      </c>
      <c r="B30" s="25">
        <f t="shared" si="2"/>
        <v>33529.125749999999</v>
      </c>
      <c r="C30" s="26">
        <v>33948.499980000001</v>
      </c>
      <c r="D30" s="27">
        <f t="shared" si="0"/>
        <v>37743.680700000114</v>
      </c>
    </row>
    <row r="31" spans="1:4" x14ac:dyDescent="0.25">
      <c r="A31" s="20">
        <v>46047</v>
      </c>
      <c r="B31" s="25">
        <f t="shared" si="2"/>
        <v>33948.499980000001</v>
      </c>
      <c r="C31" s="26">
        <v>34391.275609999997</v>
      </c>
      <c r="D31" s="27">
        <f t="shared" si="0"/>
        <v>39849.806699999681</v>
      </c>
    </row>
    <row r="32" spans="1:4" x14ac:dyDescent="0.25">
      <c r="A32" s="20">
        <v>46048</v>
      </c>
      <c r="B32" s="7">
        <f t="shared" si="2"/>
        <v>34391.275609999997</v>
      </c>
      <c r="C32" s="6">
        <v>34802.950239999998</v>
      </c>
      <c r="D32" s="21">
        <f t="shared" si="0"/>
        <v>37050.716700000121</v>
      </c>
    </row>
    <row r="33" spans="1:4" x14ac:dyDescent="0.25">
      <c r="A33" s="20">
        <v>46049</v>
      </c>
      <c r="B33" s="31">
        <f t="shared" ref="B33:B37" si="3">C32</f>
        <v>34802.950239999998</v>
      </c>
      <c r="C33" s="32">
        <v>35221.761469999998</v>
      </c>
      <c r="D33" s="33">
        <f t="shared" ref="D33:D37" si="4">(C33-B33)*90</f>
        <v>37693.010699999941</v>
      </c>
    </row>
    <row r="34" spans="1:4" x14ac:dyDescent="0.25">
      <c r="A34" s="20">
        <v>46050</v>
      </c>
      <c r="B34" s="25">
        <f t="shared" si="3"/>
        <v>35221.761469999998</v>
      </c>
      <c r="C34" s="26">
        <v>35572.896339999999</v>
      </c>
      <c r="D34" s="27">
        <f t="shared" si="4"/>
        <v>31602.138300000152</v>
      </c>
    </row>
    <row r="35" spans="1:4" x14ac:dyDescent="0.25">
      <c r="A35" s="20">
        <v>46051</v>
      </c>
      <c r="B35" s="25">
        <f t="shared" si="3"/>
        <v>35572.896339999999</v>
      </c>
      <c r="C35" s="26">
        <v>36003.336920000002</v>
      </c>
      <c r="D35" s="27">
        <f t="shared" si="4"/>
        <v>38739.652200000201</v>
      </c>
    </row>
    <row r="36" spans="1:4" x14ac:dyDescent="0.25">
      <c r="A36" s="20">
        <v>46052</v>
      </c>
      <c r="B36" s="25">
        <f t="shared" si="3"/>
        <v>36003.336920000002</v>
      </c>
      <c r="C36" s="26">
        <v>36450.653789999997</v>
      </c>
      <c r="D36" s="27">
        <f t="shared" si="4"/>
        <v>40258.51829999956</v>
      </c>
    </row>
    <row r="37" spans="1:4" ht="15.75" thickBot="1" x14ac:dyDescent="0.3">
      <c r="A37" s="34">
        <v>46053</v>
      </c>
      <c r="B37" s="25">
        <f t="shared" si="3"/>
        <v>36450.653789999997</v>
      </c>
      <c r="C37" s="26">
        <v>36897.989379999999</v>
      </c>
      <c r="D37" s="27">
        <f t="shared" si="4"/>
        <v>40260.203100000217</v>
      </c>
    </row>
    <row r="38" spans="1:4" ht="15.75" thickBot="1" x14ac:dyDescent="0.3">
      <c r="A38" s="35"/>
      <c r="B38" s="36"/>
      <c r="C38" s="37" t="s">
        <v>5</v>
      </c>
      <c r="D38" s="38">
        <f>SUM(D7:D37)</f>
        <v>1223464.9617000001</v>
      </c>
    </row>
  </sheetData>
  <mergeCells count="7">
    <mergeCell ref="A1:D1"/>
    <mergeCell ref="A2:D2"/>
    <mergeCell ref="B3:D3"/>
    <mergeCell ref="A4:A6"/>
    <mergeCell ref="B4:B6"/>
    <mergeCell ref="C4:C6"/>
    <mergeCell ref="D4:D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0069F-D6F9-4555-99EE-6F20660CBC23}">
  <dimension ref="A1:H35"/>
  <sheetViews>
    <sheetView workbookViewId="0">
      <pane ySplit="6" topLeftCell="A21" activePane="bottomLeft" state="frozen"/>
      <selection pane="bottomLeft" activeCell="G33" sqref="G33"/>
    </sheetView>
  </sheetViews>
  <sheetFormatPr defaultRowHeight="15" x14ac:dyDescent="0.25"/>
  <cols>
    <col min="4" max="4" width="14" customWidth="1"/>
  </cols>
  <sheetData>
    <row r="1" spans="1:7" ht="16.5" thickBot="1" x14ac:dyDescent="0.3">
      <c r="A1" s="49" t="s">
        <v>7</v>
      </c>
      <c r="B1" s="50"/>
      <c r="C1" s="50"/>
      <c r="D1" s="51"/>
    </row>
    <row r="2" spans="1:7" ht="19.5" thickBot="1" x14ac:dyDescent="0.3">
      <c r="A2" s="44" t="s">
        <v>6</v>
      </c>
      <c r="B2" s="45"/>
      <c r="C2" s="45"/>
      <c r="D2" s="46"/>
    </row>
    <row r="3" spans="1:7" ht="15.75" thickBot="1" x14ac:dyDescent="0.3">
      <c r="A3" s="2"/>
      <c r="B3" s="58" t="s">
        <v>1</v>
      </c>
      <c r="C3" s="58"/>
      <c r="D3" s="58"/>
    </row>
    <row r="4" spans="1:7" x14ac:dyDescent="0.25">
      <c r="A4" s="59" t="s">
        <v>0</v>
      </c>
      <c r="B4" s="62" t="s">
        <v>2</v>
      </c>
      <c r="C4" s="62" t="s">
        <v>3</v>
      </c>
      <c r="D4" s="65" t="s">
        <v>4</v>
      </c>
    </row>
    <row r="5" spans="1:7" x14ac:dyDescent="0.25">
      <c r="A5" s="60"/>
      <c r="B5" s="63"/>
      <c r="C5" s="63"/>
      <c r="D5" s="66"/>
    </row>
    <row r="6" spans="1:7" ht="15.75" thickBot="1" x14ac:dyDescent="0.3">
      <c r="A6" s="61"/>
      <c r="B6" s="64"/>
      <c r="C6" s="64"/>
      <c r="D6" s="67"/>
    </row>
    <row r="7" spans="1:7" x14ac:dyDescent="0.25">
      <c r="A7" s="20">
        <v>46054</v>
      </c>
      <c r="B7" s="28">
        <v>36897.989379999999</v>
      </c>
      <c r="C7" s="29">
        <v>37391.172359999997</v>
      </c>
      <c r="D7" s="30">
        <f t="shared" ref="D7:D34" si="0">(C7-B7)*90</f>
        <v>44386.468199999799</v>
      </c>
    </row>
    <row r="8" spans="1:7" x14ac:dyDescent="0.25">
      <c r="A8" s="20">
        <v>46055</v>
      </c>
      <c r="B8" s="25">
        <f>C7</f>
        <v>37391.172359999997</v>
      </c>
      <c r="C8" s="26">
        <v>37869.380749999997</v>
      </c>
      <c r="D8" s="27">
        <f t="shared" si="0"/>
        <v>43038.75509999998</v>
      </c>
    </row>
    <row r="9" spans="1:7" x14ac:dyDescent="0.25">
      <c r="A9" s="20">
        <v>46056</v>
      </c>
      <c r="B9" s="25">
        <f>C8</f>
        <v>37869.380749999997</v>
      </c>
      <c r="C9" s="26">
        <v>38336.156349999997</v>
      </c>
      <c r="D9" s="27">
        <f t="shared" si="0"/>
        <v>42009.804000000076</v>
      </c>
    </row>
    <row r="10" spans="1:7" x14ac:dyDescent="0.25">
      <c r="A10" s="20">
        <v>46057</v>
      </c>
      <c r="B10" s="25">
        <f>C9</f>
        <v>38336.156349999997</v>
      </c>
      <c r="C10" s="26">
        <v>38788.463710000004</v>
      </c>
      <c r="D10" s="27">
        <f t="shared" si="0"/>
        <v>40707.662400000554</v>
      </c>
      <c r="G10" s="40"/>
    </row>
    <row r="11" spans="1:7" x14ac:dyDescent="0.25">
      <c r="A11" s="20">
        <v>46058</v>
      </c>
      <c r="B11" s="25">
        <f>C10</f>
        <v>38788.463710000004</v>
      </c>
      <c r="C11" s="26">
        <v>39259.31192</v>
      </c>
      <c r="D11" s="27">
        <f t="shared" si="0"/>
        <v>42376.338899999682</v>
      </c>
      <c r="G11" s="39"/>
    </row>
    <row r="12" spans="1:7" x14ac:dyDescent="0.25">
      <c r="A12" s="20">
        <v>46059</v>
      </c>
      <c r="B12" s="25">
        <f>C11</f>
        <v>39259.31192</v>
      </c>
      <c r="C12" s="26">
        <v>39726.746099999997</v>
      </c>
      <c r="D12" s="27">
        <f t="shared" si="0"/>
        <v>42069.07619999969</v>
      </c>
    </row>
    <row r="13" spans="1:7" x14ac:dyDescent="0.25">
      <c r="A13" s="20">
        <v>46060</v>
      </c>
      <c r="B13" s="25">
        <f t="shared" ref="B13:B34" si="1">C12</f>
        <v>39726.746099999997</v>
      </c>
      <c r="C13" s="26">
        <v>40243.535069999998</v>
      </c>
      <c r="D13" s="27">
        <f t="shared" si="0"/>
        <v>46511.007300000128</v>
      </c>
    </row>
    <row r="14" spans="1:7" x14ac:dyDescent="0.25">
      <c r="A14" s="20">
        <v>46061</v>
      </c>
      <c r="B14" s="25">
        <f t="shared" si="1"/>
        <v>40243.535069999998</v>
      </c>
      <c r="C14" s="26">
        <v>40758.24682</v>
      </c>
      <c r="D14" s="27">
        <f t="shared" si="0"/>
        <v>46324.057500000199</v>
      </c>
    </row>
    <row r="15" spans="1:7" x14ac:dyDescent="0.25">
      <c r="A15" s="20">
        <v>46062</v>
      </c>
      <c r="B15" s="25">
        <f t="shared" si="1"/>
        <v>40758.24682</v>
      </c>
      <c r="C15" s="26">
        <v>41277.386149999998</v>
      </c>
      <c r="D15" s="27">
        <f t="shared" si="0"/>
        <v>46722.539699999834</v>
      </c>
    </row>
    <row r="16" spans="1:7" x14ac:dyDescent="0.25">
      <c r="A16" s="20">
        <v>46063</v>
      </c>
      <c r="B16" s="25">
        <f t="shared" si="1"/>
        <v>41277.386149999998</v>
      </c>
      <c r="C16" s="26">
        <v>41809.823129999997</v>
      </c>
      <c r="D16" s="27">
        <f t="shared" si="0"/>
        <v>47919.328199999873</v>
      </c>
    </row>
    <row r="17" spans="1:8" x14ac:dyDescent="0.25">
      <c r="A17" s="20">
        <v>46064</v>
      </c>
      <c r="B17" s="25">
        <f t="shared" si="1"/>
        <v>41809.823129999997</v>
      </c>
      <c r="C17" s="26">
        <v>42324.415840000001</v>
      </c>
      <c r="D17" s="27">
        <f t="shared" si="0"/>
        <v>46313.3439000004</v>
      </c>
      <c r="H17" s="40"/>
    </row>
    <row r="18" spans="1:8" x14ac:dyDescent="0.25">
      <c r="A18" s="20">
        <v>46065</v>
      </c>
      <c r="B18" s="25">
        <f t="shared" si="1"/>
        <v>42324.415840000001</v>
      </c>
      <c r="C18" s="26">
        <v>42816.720249999998</v>
      </c>
      <c r="D18" s="27">
        <f t="shared" si="0"/>
        <v>44307.396899999731</v>
      </c>
    </row>
    <row r="19" spans="1:8" x14ac:dyDescent="0.25">
      <c r="A19" s="20">
        <v>46066</v>
      </c>
      <c r="B19" s="25">
        <f t="shared" si="1"/>
        <v>42816.720249999998</v>
      </c>
      <c r="C19" s="26">
        <v>43274.758229999999</v>
      </c>
      <c r="D19" s="27">
        <f t="shared" si="0"/>
        <v>41223.418200000087</v>
      </c>
    </row>
    <row r="20" spans="1:8" x14ac:dyDescent="0.25">
      <c r="A20" s="20">
        <v>46067</v>
      </c>
      <c r="B20" s="25">
        <f t="shared" si="1"/>
        <v>43274.758229999999</v>
      </c>
      <c r="C20" s="26">
        <v>43754.057350000003</v>
      </c>
      <c r="D20" s="27">
        <f t="shared" si="0"/>
        <v>43136.920800000298</v>
      </c>
    </row>
    <row r="21" spans="1:8" x14ac:dyDescent="0.25">
      <c r="A21" s="20">
        <v>46068</v>
      </c>
      <c r="B21" s="25">
        <f t="shared" si="1"/>
        <v>43754.057350000003</v>
      </c>
      <c r="C21" s="26">
        <v>44221.24841</v>
      </c>
      <c r="D21" s="27">
        <f t="shared" si="0"/>
        <v>42047.195399999764</v>
      </c>
    </row>
    <row r="22" spans="1:8" x14ac:dyDescent="0.25">
      <c r="A22" s="20">
        <v>46069</v>
      </c>
      <c r="B22" s="25">
        <f t="shared" si="1"/>
        <v>44221.24841</v>
      </c>
      <c r="C22" s="26">
        <v>44747.870869999999</v>
      </c>
      <c r="D22" s="27">
        <f t="shared" si="0"/>
        <v>47396.021399999881</v>
      </c>
    </row>
    <row r="23" spans="1:8" x14ac:dyDescent="0.25">
      <c r="A23" s="20">
        <v>46070</v>
      </c>
      <c r="B23" s="25">
        <f t="shared" si="1"/>
        <v>44747.870869999999</v>
      </c>
      <c r="C23" s="26">
        <v>45295.15395</v>
      </c>
      <c r="D23" s="27">
        <f t="shared" si="0"/>
        <v>49255.477200000096</v>
      </c>
    </row>
    <row r="24" spans="1:8" x14ac:dyDescent="0.25">
      <c r="A24" s="20">
        <v>46071</v>
      </c>
      <c r="B24" s="25">
        <f t="shared" si="1"/>
        <v>45295.15395</v>
      </c>
      <c r="C24" s="26">
        <v>45816.642720000003</v>
      </c>
      <c r="D24" s="27">
        <f t="shared" si="0"/>
        <v>46933.989300000321</v>
      </c>
    </row>
    <row r="25" spans="1:8" x14ac:dyDescent="0.25">
      <c r="A25" s="20">
        <v>46072</v>
      </c>
      <c r="B25" s="25">
        <f t="shared" si="1"/>
        <v>45816.642720000003</v>
      </c>
      <c r="C25" s="26">
        <v>46317.255949999999</v>
      </c>
      <c r="D25" s="27">
        <f t="shared" si="0"/>
        <v>45055.190699999584</v>
      </c>
    </row>
    <row r="26" spans="1:8" x14ac:dyDescent="0.25">
      <c r="A26" s="20">
        <v>46073</v>
      </c>
      <c r="B26" s="25">
        <f t="shared" si="1"/>
        <v>46317.255949999999</v>
      </c>
      <c r="C26" s="26">
        <v>46816.836159999999</v>
      </c>
      <c r="D26" s="27">
        <f t="shared" si="0"/>
        <v>44962.218900000007</v>
      </c>
    </row>
    <row r="27" spans="1:8" x14ac:dyDescent="0.25">
      <c r="A27" s="20">
        <v>46074</v>
      </c>
      <c r="B27" s="25">
        <f t="shared" si="1"/>
        <v>46816.836159999999</v>
      </c>
      <c r="C27" s="26">
        <v>47241.600359999997</v>
      </c>
      <c r="D27" s="27">
        <f t="shared" si="0"/>
        <v>38228.777999999802</v>
      </c>
    </row>
    <row r="28" spans="1:8" x14ac:dyDescent="0.25">
      <c r="A28" s="20">
        <v>46075</v>
      </c>
      <c r="B28" s="25">
        <f t="shared" si="1"/>
        <v>47241.600359999997</v>
      </c>
      <c r="C28" s="26">
        <v>47684.080650000004</v>
      </c>
      <c r="D28" s="27">
        <f t="shared" si="0"/>
        <v>39823.226100000611</v>
      </c>
    </row>
    <row r="29" spans="1:8" x14ac:dyDescent="0.25">
      <c r="A29" s="20">
        <v>46076</v>
      </c>
      <c r="B29" s="25">
        <f t="shared" si="1"/>
        <v>47684.080650000004</v>
      </c>
      <c r="C29" s="26">
        <v>48110.201609999996</v>
      </c>
      <c r="D29" s="27">
        <f t="shared" si="0"/>
        <v>38350.886399999363</v>
      </c>
    </row>
    <row r="30" spans="1:8" x14ac:dyDescent="0.25">
      <c r="A30" s="20">
        <v>46077</v>
      </c>
      <c r="B30" s="25">
        <f t="shared" si="1"/>
        <v>48110.201609999996</v>
      </c>
      <c r="C30" s="26">
        <v>48552.446960000001</v>
      </c>
      <c r="D30" s="27">
        <f t="shared" si="0"/>
        <v>39802.081500000422</v>
      </c>
    </row>
    <row r="31" spans="1:8" x14ac:dyDescent="0.25">
      <c r="A31" s="20">
        <v>46078</v>
      </c>
      <c r="B31" s="25">
        <f t="shared" si="1"/>
        <v>48552.446960000001</v>
      </c>
      <c r="C31" s="26">
        <v>49003.752280000001</v>
      </c>
      <c r="D31" s="27">
        <f t="shared" si="0"/>
        <v>40617.478799999953</v>
      </c>
    </row>
    <row r="32" spans="1:8" x14ac:dyDescent="0.25">
      <c r="A32" s="20">
        <v>46079</v>
      </c>
      <c r="B32" s="25">
        <f t="shared" si="1"/>
        <v>49003.752280000001</v>
      </c>
      <c r="C32" s="26">
        <v>49484.872179999998</v>
      </c>
      <c r="D32" s="27">
        <f t="shared" si="0"/>
        <v>43300.790999999808</v>
      </c>
    </row>
    <row r="33" spans="1:4" x14ac:dyDescent="0.25">
      <c r="A33" s="20">
        <v>46080</v>
      </c>
      <c r="B33" s="25">
        <f t="shared" si="1"/>
        <v>49484.872179999998</v>
      </c>
      <c r="C33" s="26">
        <v>49861.405140000003</v>
      </c>
      <c r="D33" s="27">
        <f t="shared" si="0"/>
        <v>33887.966400000369</v>
      </c>
    </row>
    <row r="34" spans="1:4" ht="15.75" thickBot="1" x14ac:dyDescent="0.3">
      <c r="A34" s="20">
        <v>46081</v>
      </c>
      <c r="B34" s="7">
        <f t="shared" si="1"/>
        <v>49861.405140000003</v>
      </c>
      <c r="C34" s="6">
        <v>50322.79969</v>
      </c>
      <c r="D34" s="21">
        <f t="shared" si="0"/>
        <v>41525.509499999753</v>
      </c>
    </row>
    <row r="35" spans="1:4" ht="15.75" thickBot="1" x14ac:dyDescent="0.3">
      <c r="A35" s="35"/>
      <c r="B35" s="4"/>
      <c r="C35" s="5" t="s">
        <v>5</v>
      </c>
      <c r="D35" s="18">
        <f>SUM(D7:D34)</f>
        <v>1208232.9278999998</v>
      </c>
    </row>
  </sheetData>
  <mergeCells count="7">
    <mergeCell ref="A1:D1"/>
    <mergeCell ref="A2:D2"/>
    <mergeCell ref="B3:D3"/>
    <mergeCell ref="A4:A6"/>
    <mergeCell ref="B4:B6"/>
    <mergeCell ref="C4:C6"/>
    <mergeCell ref="D4:D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DD027-A297-4E6E-ACC7-C534C587F47E}">
  <dimension ref="A1:D38"/>
  <sheetViews>
    <sheetView workbookViewId="0">
      <pane ySplit="6" topLeftCell="A24" activePane="bottomLeft" state="frozen"/>
      <selection pane="bottomLeft" sqref="A1:D38"/>
    </sheetView>
  </sheetViews>
  <sheetFormatPr defaultRowHeight="15" x14ac:dyDescent="0.25"/>
  <cols>
    <col min="2" max="3" width="9.42578125" bestFit="1" customWidth="1"/>
    <col min="4" max="4" width="12.7109375" customWidth="1"/>
  </cols>
  <sheetData>
    <row r="1" spans="1:4" ht="16.5" thickBot="1" x14ac:dyDescent="0.3">
      <c r="A1" s="49" t="s">
        <v>7</v>
      </c>
      <c r="B1" s="50"/>
      <c r="C1" s="50"/>
      <c r="D1" s="51"/>
    </row>
    <row r="2" spans="1:4" ht="19.5" thickBot="1" x14ac:dyDescent="0.3">
      <c r="A2" s="44" t="s">
        <v>6</v>
      </c>
      <c r="B2" s="45"/>
      <c r="C2" s="45"/>
      <c r="D2" s="46"/>
    </row>
    <row r="3" spans="1:4" ht="15.75" thickBot="1" x14ac:dyDescent="0.3">
      <c r="A3" s="2"/>
      <c r="B3" s="58" t="s">
        <v>1</v>
      </c>
      <c r="C3" s="58"/>
      <c r="D3" s="58"/>
    </row>
    <row r="4" spans="1:4" x14ac:dyDescent="0.25">
      <c r="A4" s="59" t="s">
        <v>0</v>
      </c>
      <c r="B4" s="62" t="s">
        <v>2</v>
      </c>
      <c r="C4" s="62" t="s">
        <v>3</v>
      </c>
      <c r="D4" s="65" t="s">
        <v>4</v>
      </c>
    </row>
    <row r="5" spans="1:4" x14ac:dyDescent="0.25">
      <c r="A5" s="60"/>
      <c r="B5" s="63"/>
      <c r="C5" s="63"/>
      <c r="D5" s="66"/>
    </row>
    <row r="6" spans="1:4" ht="15.75" thickBot="1" x14ac:dyDescent="0.3">
      <c r="A6" s="61"/>
      <c r="B6" s="71"/>
      <c r="C6" s="71"/>
      <c r="D6" s="72"/>
    </row>
    <row r="7" spans="1:4" x14ac:dyDescent="0.25">
      <c r="A7" s="34">
        <v>46082</v>
      </c>
      <c r="B7" s="28">
        <v>50322.79969</v>
      </c>
      <c r="C7" s="29">
        <v>50898.227980000003</v>
      </c>
      <c r="D7" s="30">
        <f t="shared" ref="D7:D37" si="0">(C7-B7)*90</f>
        <v>51788.546100000312</v>
      </c>
    </row>
    <row r="8" spans="1:4" x14ac:dyDescent="0.25">
      <c r="A8" s="41">
        <v>46083</v>
      </c>
      <c r="B8" s="6">
        <f>C7</f>
        <v>50898.227980000003</v>
      </c>
      <c r="C8" s="6">
        <v>51478.496160000002</v>
      </c>
      <c r="D8" s="21">
        <f t="shared" si="0"/>
        <v>52224.136199999921</v>
      </c>
    </row>
    <row r="9" spans="1:4" x14ac:dyDescent="0.25">
      <c r="A9" s="41">
        <v>46084</v>
      </c>
      <c r="B9" s="6">
        <f>C8</f>
        <v>51478.496160000002</v>
      </c>
      <c r="C9" s="6">
        <v>52061.570299999999</v>
      </c>
      <c r="D9" s="21">
        <f t="shared" si="0"/>
        <v>52476.672599999729</v>
      </c>
    </row>
    <row r="10" spans="1:4" x14ac:dyDescent="0.25">
      <c r="A10" s="41">
        <v>46085</v>
      </c>
      <c r="B10" s="26">
        <f>C9</f>
        <v>52061.570299999999</v>
      </c>
      <c r="C10" s="26">
        <v>52652.996420000003</v>
      </c>
      <c r="D10" s="27">
        <f t="shared" si="0"/>
        <v>53228.350800000335</v>
      </c>
    </row>
    <row r="11" spans="1:4" x14ac:dyDescent="0.25">
      <c r="A11" s="20">
        <v>46086</v>
      </c>
      <c r="B11" s="26">
        <f>C10</f>
        <v>52652.996420000003</v>
      </c>
      <c r="C11" s="26">
        <v>53263.841930000002</v>
      </c>
      <c r="D11" s="27">
        <f t="shared" si="0"/>
        <v>54976.095899999927</v>
      </c>
    </row>
    <row r="12" spans="1:4" x14ac:dyDescent="0.25">
      <c r="A12" s="20">
        <v>46087</v>
      </c>
      <c r="B12" s="26">
        <f>C11</f>
        <v>53263.841930000002</v>
      </c>
      <c r="C12" s="26">
        <v>53867.169670000003</v>
      </c>
      <c r="D12" s="27">
        <f t="shared" si="0"/>
        <v>54299.496600000057</v>
      </c>
    </row>
    <row r="13" spans="1:4" x14ac:dyDescent="0.25">
      <c r="A13" s="20">
        <v>46088</v>
      </c>
      <c r="B13" s="26">
        <f t="shared" ref="B13:B37" si="1">C12</f>
        <v>53867.169670000003</v>
      </c>
      <c r="C13" s="26">
        <v>54462.46471</v>
      </c>
      <c r="D13" s="27">
        <f t="shared" si="0"/>
        <v>53576.553599999752</v>
      </c>
    </row>
    <row r="14" spans="1:4" x14ac:dyDescent="0.25">
      <c r="A14" s="20">
        <v>46089</v>
      </c>
      <c r="B14" s="26">
        <f t="shared" si="1"/>
        <v>54462.46471</v>
      </c>
      <c r="C14" s="25">
        <v>55059.253700000001</v>
      </c>
      <c r="D14" s="27">
        <f t="shared" si="0"/>
        <v>53711.009100000083</v>
      </c>
    </row>
    <row r="15" spans="1:4" x14ac:dyDescent="0.25">
      <c r="A15" s="20">
        <v>46090</v>
      </c>
      <c r="B15" s="26">
        <f t="shared" si="1"/>
        <v>55059.253700000001</v>
      </c>
      <c r="C15" s="25">
        <v>55662.425219999997</v>
      </c>
      <c r="D15" s="27">
        <f t="shared" si="0"/>
        <v>54285.436799999661</v>
      </c>
    </row>
    <row r="16" spans="1:4" x14ac:dyDescent="0.25">
      <c r="A16" s="20">
        <v>46091</v>
      </c>
      <c r="B16" s="26">
        <f t="shared" si="1"/>
        <v>55662.425219999997</v>
      </c>
      <c r="C16" s="25">
        <v>56239.532980000004</v>
      </c>
      <c r="D16" s="27">
        <f t="shared" si="0"/>
        <v>51939.698400000561</v>
      </c>
    </row>
    <row r="17" spans="1:4" x14ac:dyDescent="0.25">
      <c r="A17" s="20">
        <v>46092</v>
      </c>
      <c r="B17" s="26">
        <f t="shared" si="1"/>
        <v>56239.532980000004</v>
      </c>
      <c r="C17" s="25">
        <v>56774.472580000001</v>
      </c>
      <c r="D17" s="27">
        <f t="shared" si="0"/>
        <v>48144.563999999809</v>
      </c>
    </row>
    <row r="18" spans="1:4" x14ac:dyDescent="0.25">
      <c r="A18" s="20">
        <v>46093</v>
      </c>
      <c r="B18" s="26">
        <f t="shared" si="1"/>
        <v>56774.472580000001</v>
      </c>
      <c r="C18" s="25">
        <v>57338.991540000003</v>
      </c>
      <c r="D18" s="27">
        <f t="shared" si="0"/>
        <v>50806.706400000112</v>
      </c>
    </row>
    <row r="19" spans="1:4" x14ac:dyDescent="0.25">
      <c r="A19" s="20">
        <v>46094</v>
      </c>
      <c r="B19" s="26">
        <f t="shared" si="1"/>
        <v>57338.991540000003</v>
      </c>
      <c r="C19" s="25">
        <v>57895.316319999998</v>
      </c>
      <c r="D19" s="27">
        <f t="shared" si="0"/>
        <v>50069.230199999583</v>
      </c>
    </row>
    <row r="20" spans="1:4" x14ac:dyDescent="0.25">
      <c r="A20" s="20">
        <v>46095</v>
      </c>
      <c r="B20" s="26">
        <f t="shared" si="1"/>
        <v>57895.316319999998</v>
      </c>
      <c r="C20" s="25">
        <v>58423.356169999999</v>
      </c>
      <c r="D20" s="27">
        <f t="shared" si="0"/>
        <v>47523.586500000092</v>
      </c>
    </row>
    <row r="21" spans="1:4" x14ac:dyDescent="0.25">
      <c r="A21" s="20">
        <v>46096</v>
      </c>
      <c r="B21" s="26">
        <f t="shared" si="1"/>
        <v>58423.356169999999</v>
      </c>
      <c r="C21" s="25">
        <v>58920.649850000002</v>
      </c>
      <c r="D21" s="27">
        <f t="shared" si="0"/>
        <v>44756.431200000225</v>
      </c>
    </row>
    <row r="22" spans="1:4" x14ac:dyDescent="0.25">
      <c r="A22" s="20">
        <v>46097</v>
      </c>
      <c r="B22" s="26">
        <f t="shared" si="1"/>
        <v>58920.649850000002</v>
      </c>
      <c r="C22" s="25">
        <v>59447.42656</v>
      </c>
      <c r="D22" s="27">
        <f t="shared" si="0"/>
        <v>47409.903899999845</v>
      </c>
    </row>
    <row r="23" spans="1:4" x14ac:dyDescent="0.25">
      <c r="A23" s="20">
        <v>46098</v>
      </c>
      <c r="B23" s="26">
        <f t="shared" si="1"/>
        <v>59447.42656</v>
      </c>
      <c r="C23" s="25">
        <v>59989.366849999999</v>
      </c>
      <c r="D23" s="27">
        <f t="shared" si="0"/>
        <v>48774.626099999878</v>
      </c>
    </row>
    <row r="24" spans="1:4" x14ac:dyDescent="0.25">
      <c r="A24" s="20">
        <v>46099</v>
      </c>
      <c r="B24" s="26">
        <f t="shared" si="1"/>
        <v>59989.366849999999</v>
      </c>
      <c r="C24" s="25">
        <v>60435.15137</v>
      </c>
      <c r="D24" s="27">
        <f t="shared" si="0"/>
        <v>40120.606800000096</v>
      </c>
    </row>
    <row r="25" spans="1:4" x14ac:dyDescent="0.25">
      <c r="A25" s="20">
        <v>46100</v>
      </c>
      <c r="B25" s="26">
        <f t="shared" si="1"/>
        <v>60435.15137</v>
      </c>
      <c r="C25" s="25">
        <v>60973.299579999999</v>
      </c>
      <c r="D25" s="27">
        <f t="shared" si="0"/>
        <v>48433.338899999944</v>
      </c>
    </row>
    <row r="26" spans="1:4" x14ac:dyDescent="0.25">
      <c r="A26" s="20">
        <v>46101</v>
      </c>
      <c r="B26" s="26">
        <f t="shared" si="1"/>
        <v>60973.299579999999</v>
      </c>
      <c r="C26" s="25">
        <v>61479.540119999998</v>
      </c>
      <c r="D26" s="27">
        <f t="shared" si="0"/>
        <v>45561.648599999899</v>
      </c>
    </row>
    <row r="27" spans="1:4" x14ac:dyDescent="0.25">
      <c r="A27" s="20">
        <v>46102</v>
      </c>
      <c r="B27" s="26">
        <f t="shared" si="1"/>
        <v>61479.540119999998</v>
      </c>
      <c r="C27" s="25">
        <v>62085.1322</v>
      </c>
      <c r="D27" s="27">
        <f t="shared" si="0"/>
        <v>54503.287200000195</v>
      </c>
    </row>
    <row r="28" spans="1:4" x14ac:dyDescent="0.25">
      <c r="A28" s="20">
        <v>46103</v>
      </c>
      <c r="B28" s="26">
        <f t="shared" si="1"/>
        <v>62085.1322</v>
      </c>
      <c r="C28" s="25">
        <v>62688.512289999999</v>
      </c>
      <c r="D28" s="27">
        <f t="shared" si="0"/>
        <v>54304.208099999887</v>
      </c>
    </row>
    <row r="29" spans="1:4" x14ac:dyDescent="0.25">
      <c r="A29" s="20">
        <v>46104</v>
      </c>
      <c r="B29" s="26">
        <f t="shared" si="1"/>
        <v>62688.512289999999</v>
      </c>
      <c r="C29" s="25">
        <v>63267.515679999997</v>
      </c>
      <c r="D29" s="27">
        <f t="shared" si="0"/>
        <v>52110.305099999823</v>
      </c>
    </row>
    <row r="30" spans="1:4" x14ac:dyDescent="0.25">
      <c r="A30" s="20">
        <v>46105</v>
      </c>
      <c r="B30" s="26">
        <f t="shared" si="1"/>
        <v>63267.515679999997</v>
      </c>
      <c r="C30" s="25">
        <v>63787.01036</v>
      </c>
      <c r="D30" s="27">
        <f t="shared" si="0"/>
        <v>46754.521200000308</v>
      </c>
    </row>
    <row r="31" spans="1:4" x14ac:dyDescent="0.25">
      <c r="A31" s="20">
        <v>46106</v>
      </c>
      <c r="B31" s="26">
        <f t="shared" si="1"/>
        <v>63787.01036</v>
      </c>
      <c r="C31" s="25">
        <v>64371.935550000002</v>
      </c>
      <c r="D31" s="27">
        <f t="shared" si="0"/>
        <v>52643.267100000157</v>
      </c>
    </row>
    <row r="32" spans="1:4" x14ac:dyDescent="0.25">
      <c r="A32" s="20">
        <v>46107</v>
      </c>
      <c r="B32" s="26">
        <f t="shared" si="1"/>
        <v>64371.935550000002</v>
      </c>
      <c r="C32" s="25">
        <v>64922.23126</v>
      </c>
      <c r="D32" s="27">
        <f t="shared" si="0"/>
        <v>49526.613899999866</v>
      </c>
    </row>
    <row r="33" spans="1:4" x14ac:dyDescent="0.25">
      <c r="A33" s="20">
        <v>46108</v>
      </c>
      <c r="B33" s="26">
        <f t="shared" si="1"/>
        <v>64922.23126</v>
      </c>
      <c r="C33" s="25">
        <v>65417.15191</v>
      </c>
      <c r="D33" s="27">
        <f t="shared" si="0"/>
        <v>44542.858500000002</v>
      </c>
    </row>
    <row r="34" spans="1:4" x14ac:dyDescent="0.25">
      <c r="A34" s="20">
        <v>46109</v>
      </c>
      <c r="B34" s="26">
        <f t="shared" si="1"/>
        <v>65417.15191</v>
      </c>
      <c r="C34" s="25">
        <v>66021.794850000006</v>
      </c>
      <c r="D34" s="27">
        <f t="shared" si="0"/>
        <v>54417.864600000466</v>
      </c>
    </row>
    <row r="35" spans="1:4" x14ac:dyDescent="0.25">
      <c r="A35" s="20">
        <v>46110</v>
      </c>
      <c r="B35" s="26">
        <f t="shared" si="1"/>
        <v>66021.794850000006</v>
      </c>
      <c r="C35" s="25">
        <v>66607.069399999993</v>
      </c>
      <c r="D35" s="27">
        <f t="shared" si="0"/>
        <v>52674.709499998862</v>
      </c>
    </row>
    <row r="36" spans="1:4" x14ac:dyDescent="0.25">
      <c r="A36" s="20">
        <v>46111</v>
      </c>
      <c r="B36" s="26">
        <f t="shared" si="1"/>
        <v>66607.069399999993</v>
      </c>
      <c r="C36" s="25">
        <v>67140.993499999997</v>
      </c>
      <c r="D36" s="27">
        <f t="shared" si="0"/>
        <v>48053.169000000344</v>
      </c>
    </row>
    <row r="37" spans="1:4" ht="15.75" thickBot="1" x14ac:dyDescent="0.3">
      <c r="A37" s="34">
        <v>46112</v>
      </c>
      <c r="B37" s="26">
        <f t="shared" si="1"/>
        <v>67140.993499999997</v>
      </c>
      <c r="C37" s="25">
        <v>67724.743830000007</v>
      </c>
      <c r="D37" s="27">
        <f t="shared" si="0"/>
        <v>52537.529700000887</v>
      </c>
    </row>
    <row r="38" spans="1:4" ht="15.75" thickBot="1" x14ac:dyDescent="0.3">
      <c r="A38" s="68" t="s">
        <v>5</v>
      </c>
      <c r="B38" s="69"/>
      <c r="C38" s="70"/>
      <c r="D38" s="38">
        <f>SUM(D7:D37)</f>
        <v>1566174.9726000004</v>
      </c>
    </row>
  </sheetData>
  <mergeCells count="8">
    <mergeCell ref="A38:C38"/>
    <mergeCell ref="A1:D1"/>
    <mergeCell ref="A2:D2"/>
    <mergeCell ref="B3:D3"/>
    <mergeCell ref="A4:A6"/>
    <mergeCell ref="B4:B6"/>
    <mergeCell ref="C4:C6"/>
    <mergeCell ref="D4:D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F80EA-BD6A-4F2B-9F37-CB9D657B7613}">
  <dimension ref="A1:D37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G10" sqref="G10"/>
    </sheetView>
  </sheetViews>
  <sheetFormatPr defaultRowHeight="15" x14ac:dyDescent="0.25"/>
  <cols>
    <col min="4" max="4" width="13.7109375" customWidth="1"/>
  </cols>
  <sheetData>
    <row r="1" spans="1:4" ht="16.5" thickBot="1" x14ac:dyDescent="0.3">
      <c r="A1" s="49" t="s">
        <v>7</v>
      </c>
      <c r="B1" s="50"/>
      <c r="C1" s="50"/>
      <c r="D1" s="51"/>
    </row>
    <row r="2" spans="1:4" ht="19.5" thickBot="1" x14ac:dyDescent="0.3">
      <c r="A2" s="44" t="s">
        <v>6</v>
      </c>
      <c r="B2" s="45"/>
      <c r="C2" s="45"/>
      <c r="D2" s="46"/>
    </row>
    <row r="3" spans="1:4" ht="15.75" thickBot="1" x14ac:dyDescent="0.3">
      <c r="A3" s="2"/>
      <c r="B3" s="58" t="s">
        <v>1</v>
      </c>
      <c r="C3" s="58"/>
      <c r="D3" s="58"/>
    </row>
    <row r="4" spans="1:4" x14ac:dyDescent="0.25">
      <c r="A4" s="59" t="s">
        <v>0</v>
      </c>
      <c r="B4" s="62" t="s">
        <v>2</v>
      </c>
      <c r="C4" s="62" t="s">
        <v>3</v>
      </c>
      <c r="D4" s="65" t="s">
        <v>4</v>
      </c>
    </row>
    <row r="5" spans="1:4" x14ac:dyDescent="0.25">
      <c r="A5" s="60"/>
      <c r="B5" s="63"/>
      <c r="C5" s="63"/>
      <c r="D5" s="66"/>
    </row>
    <row r="6" spans="1:4" x14ac:dyDescent="0.25">
      <c r="A6" s="73"/>
      <c r="B6" s="71"/>
      <c r="C6" s="71"/>
      <c r="D6" s="72"/>
    </row>
    <row r="7" spans="1:4" x14ac:dyDescent="0.25">
      <c r="A7" s="41">
        <v>46113</v>
      </c>
      <c r="B7" s="7">
        <v>67724.743830000007</v>
      </c>
      <c r="C7" s="6">
        <v>68209.88033</v>
      </c>
      <c r="D7" s="21">
        <f t="shared" ref="D7:D36" si="0">(C7-B7)*90</f>
        <v>43662.284999999392</v>
      </c>
    </row>
    <row r="8" spans="1:4" x14ac:dyDescent="0.25">
      <c r="A8" s="41">
        <v>46114</v>
      </c>
      <c r="B8" s="7">
        <f>C7</f>
        <v>68209.88033</v>
      </c>
      <c r="C8" s="6">
        <v>68677.072159999996</v>
      </c>
      <c r="D8" s="21">
        <f t="shared" si="0"/>
        <v>42047.26469999965</v>
      </c>
    </row>
    <row r="9" spans="1:4" x14ac:dyDescent="0.25">
      <c r="A9" s="41">
        <v>46115</v>
      </c>
      <c r="B9" s="7">
        <f>C8</f>
        <v>68677.072159999996</v>
      </c>
      <c r="C9" s="6">
        <v>69213.809359999999</v>
      </c>
      <c r="D9" s="21">
        <f t="shared" si="0"/>
        <v>48306.348000000289</v>
      </c>
    </row>
    <row r="10" spans="1:4" x14ac:dyDescent="0.25">
      <c r="A10" s="41">
        <v>46116</v>
      </c>
      <c r="B10" s="7">
        <f>C9</f>
        <v>69213.809359999999</v>
      </c>
      <c r="C10" s="6">
        <v>69563.239459999997</v>
      </c>
      <c r="D10" s="21">
        <f t="shared" si="0"/>
        <v>31448.708999999799</v>
      </c>
    </row>
    <row r="11" spans="1:4" x14ac:dyDescent="0.25">
      <c r="A11" s="41">
        <v>46117</v>
      </c>
      <c r="B11" s="25">
        <f>C10</f>
        <v>69563.239459999997</v>
      </c>
      <c r="C11" s="26">
        <v>70056.790919999999</v>
      </c>
      <c r="D11" s="27">
        <f t="shared" si="0"/>
        <v>44419.631400000217</v>
      </c>
    </row>
    <row r="12" spans="1:4" x14ac:dyDescent="0.25">
      <c r="A12" s="41">
        <v>46118</v>
      </c>
      <c r="B12" s="25">
        <f>C11</f>
        <v>70056.790919999999</v>
      </c>
      <c r="C12" s="26">
        <v>70646.24308</v>
      </c>
      <c r="D12" s="27">
        <f t="shared" si="0"/>
        <v>53050.694400000066</v>
      </c>
    </row>
    <row r="13" spans="1:4" x14ac:dyDescent="0.25">
      <c r="A13" s="41">
        <v>46119</v>
      </c>
      <c r="B13" s="7">
        <f t="shared" ref="B13:B24" si="1">C12</f>
        <v>70646.24308</v>
      </c>
      <c r="C13" s="6">
        <v>71238.043000000005</v>
      </c>
      <c r="D13" s="21">
        <f t="shared" si="0"/>
        <v>53261.992800000444</v>
      </c>
    </row>
    <row r="14" spans="1:4" x14ac:dyDescent="0.25">
      <c r="A14" s="41">
        <v>46120</v>
      </c>
      <c r="B14" s="25">
        <f t="shared" si="1"/>
        <v>71238.043000000005</v>
      </c>
      <c r="C14" s="26">
        <v>71793.064020000005</v>
      </c>
      <c r="D14" s="27">
        <f t="shared" si="0"/>
        <v>49951.891800000012</v>
      </c>
    </row>
    <row r="15" spans="1:4" x14ac:dyDescent="0.25">
      <c r="A15" s="41">
        <v>46121</v>
      </c>
      <c r="B15" s="25">
        <f t="shared" si="1"/>
        <v>71793.064020000005</v>
      </c>
      <c r="C15" s="26">
        <v>72377.871599999999</v>
      </c>
      <c r="D15" s="27">
        <f t="shared" si="0"/>
        <v>52632.682199999399</v>
      </c>
    </row>
    <row r="16" spans="1:4" x14ac:dyDescent="0.25">
      <c r="A16" s="41">
        <v>46122</v>
      </c>
      <c r="B16" s="25">
        <f t="shared" si="1"/>
        <v>72377.871599999999</v>
      </c>
      <c r="C16" s="26">
        <v>72964.630560000005</v>
      </c>
      <c r="D16" s="27">
        <f t="shared" si="0"/>
        <v>52808.306400000583</v>
      </c>
    </row>
    <row r="17" spans="1:4" x14ac:dyDescent="0.25">
      <c r="A17" s="41">
        <v>46123</v>
      </c>
      <c r="B17" s="25">
        <f t="shared" si="1"/>
        <v>72964.630560000005</v>
      </c>
      <c r="C17" s="26">
        <v>73552.640679999997</v>
      </c>
      <c r="D17" s="27">
        <f t="shared" si="0"/>
        <v>52920.910799999256</v>
      </c>
    </row>
    <row r="18" spans="1:4" x14ac:dyDescent="0.25">
      <c r="A18" s="41">
        <v>46124</v>
      </c>
      <c r="B18" s="25">
        <f t="shared" si="1"/>
        <v>73552.640679999997</v>
      </c>
      <c r="C18" s="26">
        <v>74111.926439999996</v>
      </c>
      <c r="D18" s="27">
        <f t="shared" si="0"/>
        <v>50335.718399999896</v>
      </c>
    </row>
    <row r="19" spans="1:4" x14ac:dyDescent="0.25">
      <c r="A19" s="41">
        <v>46125</v>
      </c>
      <c r="B19" s="25">
        <f t="shared" si="1"/>
        <v>74111.926439999996</v>
      </c>
      <c r="C19" s="26">
        <v>74651.532529999997</v>
      </c>
      <c r="D19" s="27">
        <f t="shared" si="0"/>
        <v>48564.548100000102</v>
      </c>
    </row>
    <row r="20" spans="1:4" x14ac:dyDescent="0.25">
      <c r="A20" s="41">
        <v>46126</v>
      </c>
      <c r="B20" s="7">
        <f t="shared" si="1"/>
        <v>74651.532529999997</v>
      </c>
      <c r="C20" s="6">
        <v>75205.646640000006</v>
      </c>
      <c r="D20" s="21">
        <f t="shared" si="0"/>
        <v>49870.269900000858</v>
      </c>
    </row>
    <row r="21" spans="1:4" x14ac:dyDescent="0.25">
      <c r="A21" s="41">
        <v>46127</v>
      </c>
      <c r="B21" s="25">
        <f t="shared" si="1"/>
        <v>75205.646640000006</v>
      </c>
      <c r="C21" s="26">
        <v>75428.627089999994</v>
      </c>
      <c r="D21" s="27">
        <f t="shared" si="0"/>
        <v>20068.240499998938</v>
      </c>
    </row>
    <row r="22" spans="1:4" x14ac:dyDescent="0.25">
      <c r="A22" s="41">
        <v>46128</v>
      </c>
      <c r="B22" s="7">
        <f t="shared" si="1"/>
        <v>75428.627089999994</v>
      </c>
      <c r="C22" s="6">
        <v>76019.576530000006</v>
      </c>
      <c r="D22" s="21">
        <f t="shared" si="0"/>
        <v>53185.449600001011</v>
      </c>
    </row>
    <row r="23" spans="1:4" x14ac:dyDescent="0.25">
      <c r="A23" s="41">
        <v>46129</v>
      </c>
      <c r="B23" s="25">
        <f t="shared" si="1"/>
        <v>76019.576530000006</v>
      </c>
      <c r="C23" s="26">
        <v>76565.398589999997</v>
      </c>
      <c r="D23" s="27">
        <f t="shared" si="0"/>
        <v>49123.985399999219</v>
      </c>
    </row>
    <row r="24" spans="1:4" x14ac:dyDescent="0.25">
      <c r="A24" s="41">
        <v>46130</v>
      </c>
      <c r="B24" s="7">
        <f t="shared" si="1"/>
        <v>76565.398589999997</v>
      </c>
      <c r="C24" s="6">
        <v>77096.914229999995</v>
      </c>
      <c r="D24" s="21">
        <f t="shared" si="0"/>
        <v>47836.407599999802</v>
      </c>
    </row>
    <row r="25" spans="1:4" x14ac:dyDescent="0.25">
      <c r="A25" s="41">
        <v>46131</v>
      </c>
      <c r="B25" s="7">
        <f>C24</f>
        <v>77096.914229999995</v>
      </c>
      <c r="C25" s="6">
        <v>77610.783880000003</v>
      </c>
      <c r="D25" s="21">
        <f t="shared" si="0"/>
        <v>46248.268500000704</v>
      </c>
    </row>
    <row r="26" spans="1:4" x14ac:dyDescent="0.25">
      <c r="A26" s="41">
        <v>46132</v>
      </c>
      <c r="B26" s="7">
        <f>C25</f>
        <v>77610.783880000003</v>
      </c>
      <c r="C26" s="6">
        <v>78061.283389999997</v>
      </c>
      <c r="D26" s="21">
        <f t="shared" si="0"/>
        <v>40544.955899999477</v>
      </c>
    </row>
    <row r="27" spans="1:4" x14ac:dyDescent="0.25">
      <c r="A27" s="41">
        <v>46133</v>
      </c>
      <c r="B27" s="6">
        <f t="shared" ref="B27:B36" si="2">C26</f>
        <v>78061.283389999997</v>
      </c>
      <c r="C27" s="6">
        <v>78602.615539999999</v>
      </c>
      <c r="D27" s="21">
        <f t="shared" si="0"/>
        <v>48719.89350000018</v>
      </c>
    </row>
    <row r="28" spans="1:4" x14ac:dyDescent="0.25">
      <c r="A28" s="41">
        <v>46134</v>
      </c>
      <c r="B28" s="6">
        <f t="shared" si="2"/>
        <v>78602.615539999999</v>
      </c>
      <c r="C28" s="6">
        <v>79119.021349999995</v>
      </c>
      <c r="D28" s="21">
        <f t="shared" si="0"/>
        <v>46476.522899999691</v>
      </c>
    </row>
    <row r="29" spans="1:4" x14ac:dyDescent="0.25">
      <c r="A29" s="41">
        <v>46135</v>
      </c>
      <c r="B29" s="6">
        <f t="shared" si="2"/>
        <v>79119.021349999995</v>
      </c>
      <c r="C29" s="6">
        <v>79650.601639999993</v>
      </c>
      <c r="D29" s="21">
        <f t="shared" si="0"/>
        <v>47842.226099999825</v>
      </c>
    </row>
    <row r="30" spans="1:4" x14ac:dyDescent="0.25">
      <c r="A30" s="41">
        <v>46136</v>
      </c>
      <c r="B30" s="6">
        <f t="shared" si="2"/>
        <v>79650.601639999993</v>
      </c>
      <c r="C30" s="6">
        <v>80180.602410000007</v>
      </c>
      <c r="D30" s="21">
        <f t="shared" si="0"/>
        <v>47700.069300001196</v>
      </c>
    </row>
    <row r="31" spans="1:4" x14ac:dyDescent="0.25">
      <c r="A31" s="41">
        <v>46137</v>
      </c>
      <c r="B31" s="6">
        <f t="shared" si="2"/>
        <v>80180.602410000007</v>
      </c>
      <c r="C31" s="6">
        <v>80706.617480000001</v>
      </c>
      <c r="D31" s="21">
        <f t="shared" si="0"/>
        <v>47341.356299999461</v>
      </c>
    </row>
    <row r="32" spans="1:4" x14ac:dyDescent="0.25">
      <c r="A32" s="41">
        <v>46138</v>
      </c>
      <c r="B32" s="6">
        <f t="shared" si="2"/>
        <v>80706.617480000001</v>
      </c>
      <c r="C32" s="6">
        <v>81227.829740000001</v>
      </c>
      <c r="D32" s="21">
        <f t="shared" si="0"/>
        <v>46909.103400000022</v>
      </c>
    </row>
    <row r="33" spans="1:4" x14ac:dyDescent="0.25">
      <c r="A33" s="41">
        <v>46139</v>
      </c>
      <c r="B33" s="6">
        <f t="shared" si="2"/>
        <v>81227.829740000001</v>
      </c>
      <c r="C33" s="6">
        <v>81762.866160000005</v>
      </c>
      <c r="D33" s="21">
        <f t="shared" si="0"/>
        <v>48153.27780000036</v>
      </c>
    </row>
    <row r="34" spans="1:4" x14ac:dyDescent="0.25">
      <c r="A34" s="41">
        <v>46140</v>
      </c>
      <c r="B34" s="26">
        <f t="shared" si="2"/>
        <v>81762.866160000005</v>
      </c>
      <c r="C34" s="26">
        <v>82287.066430000006</v>
      </c>
      <c r="D34" s="27">
        <f t="shared" si="0"/>
        <v>47178.024300000106</v>
      </c>
    </row>
    <row r="35" spans="1:4" x14ac:dyDescent="0.25">
      <c r="A35" s="41">
        <v>46141</v>
      </c>
      <c r="B35" s="26">
        <f t="shared" si="2"/>
        <v>82287.066430000006</v>
      </c>
      <c r="C35" s="26">
        <v>82851.122499999998</v>
      </c>
      <c r="D35" s="27">
        <f t="shared" si="0"/>
        <v>50765.046299999231</v>
      </c>
    </row>
    <row r="36" spans="1:4" ht="15.75" thickBot="1" x14ac:dyDescent="0.3">
      <c r="A36" s="34">
        <v>46142</v>
      </c>
      <c r="B36" s="26">
        <f t="shared" si="2"/>
        <v>82851.122499999998</v>
      </c>
      <c r="C36" s="26">
        <v>83431.246100000004</v>
      </c>
      <c r="D36" s="27">
        <f t="shared" si="0"/>
        <v>52211.124000000564</v>
      </c>
    </row>
    <row r="37" spans="1:4" ht="15.75" thickBot="1" x14ac:dyDescent="0.3">
      <c r="A37" s="68" t="s">
        <v>5</v>
      </c>
      <c r="B37" s="69"/>
      <c r="C37" s="70"/>
      <c r="D37" s="38">
        <f>SUM(D7:D36)</f>
        <v>1413585.2042999996</v>
      </c>
    </row>
  </sheetData>
  <mergeCells count="8">
    <mergeCell ref="A37:C37"/>
    <mergeCell ref="A1:D1"/>
    <mergeCell ref="A2:D2"/>
    <mergeCell ref="B3:D3"/>
    <mergeCell ref="A4:A6"/>
    <mergeCell ref="B4:B6"/>
    <mergeCell ref="C4:C6"/>
    <mergeCell ref="D4:D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82FAF-426F-459A-BA95-79B56C66E44F}">
  <dimension ref="A1:D38"/>
  <sheetViews>
    <sheetView workbookViewId="0">
      <pane ySplit="6" topLeftCell="A7" activePane="bottomLeft" state="frozen"/>
      <selection pane="bottomLeft" activeCell="L16" sqref="L16"/>
    </sheetView>
  </sheetViews>
  <sheetFormatPr defaultRowHeight="15" x14ac:dyDescent="0.25"/>
  <cols>
    <col min="2" max="2" width="10.42578125" customWidth="1"/>
    <col min="3" max="3" width="9.7109375" customWidth="1"/>
    <col min="4" max="4" width="12.7109375" customWidth="1"/>
  </cols>
  <sheetData>
    <row r="1" spans="1:4" ht="16.5" thickBot="1" x14ac:dyDescent="0.3">
      <c r="A1" s="49" t="s">
        <v>7</v>
      </c>
      <c r="B1" s="50"/>
      <c r="C1" s="50"/>
      <c r="D1" s="51"/>
    </row>
    <row r="2" spans="1:4" ht="19.5" thickBot="1" x14ac:dyDescent="0.3">
      <c r="A2" s="44" t="s">
        <v>6</v>
      </c>
      <c r="B2" s="45"/>
      <c r="C2" s="45"/>
      <c r="D2" s="46"/>
    </row>
    <row r="3" spans="1:4" ht="15.75" thickBot="1" x14ac:dyDescent="0.3">
      <c r="A3" s="2"/>
      <c r="B3" s="58" t="s">
        <v>1</v>
      </c>
      <c r="C3" s="58"/>
      <c r="D3" s="58"/>
    </row>
    <row r="4" spans="1:4" x14ac:dyDescent="0.25">
      <c r="A4" s="59" t="s">
        <v>0</v>
      </c>
      <c r="B4" s="62" t="s">
        <v>2</v>
      </c>
      <c r="C4" s="62" t="s">
        <v>3</v>
      </c>
      <c r="D4" s="65" t="s">
        <v>4</v>
      </c>
    </row>
    <row r="5" spans="1:4" x14ac:dyDescent="0.25">
      <c r="A5" s="60"/>
      <c r="B5" s="63"/>
      <c r="C5" s="63"/>
      <c r="D5" s="66"/>
    </row>
    <row r="6" spans="1:4" ht="14.25" customHeight="1" x14ac:dyDescent="0.25">
      <c r="A6" s="73"/>
      <c r="B6" s="71"/>
      <c r="C6" s="71"/>
      <c r="D6" s="72"/>
    </row>
    <row r="7" spans="1:4" x14ac:dyDescent="0.25">
      <c r="A7" s="41">
        <v>46143</v>
      </c>
      <c r="B7" s="26">
        <v>83431.246100000004</v>
      </c>
      <c r="C7" s="26">
        <v>83979.482900000003</v>
      </c>
      <c r="D7" s="27">
        <f t="shared" ref="D7:D37" si="0">(C7-B7)*90</f>
        <v>49341.311999999889</v>
      </c>
    </row>
    <row r="8" spans="1:4" x14ac:dyDescent="0.25">
      <c r="A8" s="41">
        <v>46144</v>
      </c>
      <c r="B8" s="26">
        <f>C7</f>
        <v>83979.482900000003</v>
      </c>
      <c r="C8" s="26">
        <v>84552.365260000006</v>
      </c>
      <c r="D8" s="27">
        <f t="shared" si="0"/>
        <v>51559.412400000292</v>
      </c>
    </row>
    <row r="9" spans="1:4" x14ac:dyDescent="0.25">
      <c r="A9" s="41">
        <v>46145</v>
      </c>
      <c r="B9" s="26">
        <f>C8</f>
        <v>84552.365260000006</v>
      </c>
      <c r="C9" s="26">
        <v>85129.701079999999</v>
      </c>
      <c r="D9" s="27">
        <f t="shared" si="0"/>
        <v>51960.223799999367</v>
      </c>
    </row>
    <row r="10" spans="1:4" x14ac:dyDescent="0.25">
      <c r="A10" s="41">
        <v>46146</v>
      </c>
      <c r="B10" s="26">
        <f>C9</f>
        <v>85129.701079999999</v>
      </c>
      <c r="C10" s="26">
        <v>85703.216220000002</v>
      </c>
      <c r="D10" s="27">
        <f t="shared" si="0"/>
        <v>51616.362600000284</v>
      </c>
    </row>
    <row r="11" spans="1:4" x14ac:dyDescent="0.25">
      <c r="A11" s="41">
        <v>46147</v>
      </c>
      <c r="B11" s="26">
        <f>C10</f>
        <v>85703.216220000002</v>
      </c>
      <c r="C11" s="26">
        <v>86256.524730000005</v>
      </c>
      <c r="D11" s="27">
        <f t="shared" si="0"/>
        <v>49797.765900000231</v>
      </c>
    </row>
    <row r="12" spans="1:4" x14ac:dyDescent="0.25">
      <c r="A12" s="41">
        <v>46148</v>
      </c>
      <c r="B12" s="26">
        <f>C11</f>
        <v>86256.524730000005</v>
      </c>
      <c r="C12" s="26">
        <v>86791.701560000001</v>
      </c>
      <c r="D12" s="27">
        <f t="shared" si="0"/>
        <v>48165.914699999703</v>
      </c>
    </row>
    <row r="13" spans="1:4" x14ac:dyDescent="0.25">
      <c r="A13" s="41">
        <v>46149</v>
      </c>
      <c r="B13" s="26">
        <f t="shared" ref="B13:B37" si="1">C12</f>
        <v>86791.701560000001</v>
      </c>
      <c r="C13" s="26">
        <v>87201.242190000004</v>
      </c>
      <c r="D13" s="27">
        <f t="shared" si="0"/>
        <v>36858.656700000283</v>
      </c>
    </row>
    <row r="14" spans="1:4" x14ac:dyDescent="0.25">
      <c r="A14" s="41">
        <v>46150</v>
      </c>
      <c r="B14" s="26">
        <f t="shared" si="1"/>
        <v>87201.242190000004</v>
      </c>
      <c r="C14" s="26">
        <v>87762.985769999999</v>
      </c>
      <c r="D14" s="27">
        <f t="shared" si="0"/>
        <v>50556.922199999535</v>
      </c>
    </row>
    <row r="15" spans="1:4" x14ac:dyDescent="0.25">
      <c r="A15" s="41">
        <v>46151</v>
      </c>
      <c r="B15" s="26">
        <f t="shared" si="1"/>
        <v>87762.985769999999</v>
      </c>
      <c r="C15" s="26">
        <v>88239.406000000003</v>
      </c>
      <c r="D15" s="27">
        <f t="shared" si="0"/>
        <v>42877.820700000302</v>
      </c>
    </row>
    <row r="16" spans="1:4" x14ac:dyDescent="0.25">
      <c r="A16" s="41">
        <v>46152</v>
      </c>
      <c r="B16" s="26">
        <f t="shared" si="1"/>
        <v>88239.406000000003</v>
      </c>
      <c r="C16" s="26">
        <v>88793.513349999994</v>
      </c>
      <c r="D16" s="27">
        <f t="shared" si="0"/>
        <v>49869.661499999202</v>
      </c>
    </row>
    <row r="17" spans="1:4" x14ac:dyDescent="0.25">
      <c r="A17" s="41">
        <v>46153</v>
      </c>
      <c r="B17" s="26">
        <f t="shared" si="1"/>
        <v>88793.513349999994</v>
      </c>
      <c r="C17" s="26">
        <v>89331.647110000005</v>
      </c>
      <c r="D17" s="27">
        <f t="shared" si="0"/>
        <v>48432.038400001038</v>
      </c>
    </row>
    <row r="18" spans="1:4" x14ac:dyDescent="0.25">
      <c r="A18" s="41">
        <v>46154</v>
      </c>
      <c r="B18" s="26">
        <f t="shared" si="1"/>
        <v>89331.647110000005</v>
      </c>
      <c r="C18" s="26">
        <v>89829.622340000002</v>
      </c>
      <c r="D18" s="27">
        <f t="shared" si="0"/>
        <v>44817.770699999674</v>
      </c>
    </row>
    <row r="19" spans="1:4" x14ac:dyDescent="0.25">
      <c r="A19" s="41">
        <v>46155</v>
      </c>
      <c r="B19" s="26">
        <f t="shared" si="1"/>
        <v>89829.622340000002</v>
      </c>
      <c r="C19" s="26">
        <v>90296.45336</v>
      </c>
      <c r="D19" s="27">
        <f t="shared" si="0"/>
        <v>42014.791799999803</v>
      </c>
    </row>
    <row r="20" spans="1:4" x14ac:dyDescent="0.25">
      <c r="A20" s="41">
        <v>46156</v>
      </c>
      <c r="B20" s="6">
        <f t="shared" si="1"/>
        <v>90296.45336</v>
      </c>
      <c r="C20" s="6">
        <v>90807.897419999994</v>
      </c>
      <c r="D20" s="21">
        <f t="shared" si="0"/>
        <v>46029.965399999492</v>
      </c>
    </row>
    <row r="21" spans="1:4" x14ac:dyDescent="0.25">
      <c r="A21" s="41">
        <v>46157</v>
      </c>
      <c r="B21" s="26">
        <f t="shared" si="1"/>
        <v>90807.897419999994</v>
      </c>
      <c r="C21" s="26">
        <v>91296.983200000002</v>
      </c>
      <c r="D21" s="27">
        <f t="shared" si="0"/>
        <v>44017.720200000767</v>
      </c>
    </row>
    <row r="22" spans="1:4" x14ac:dyDescent="0.25">
      <c r="A22" s="41">
        <v>46158</v>
      </c>
      <c r="B22" s="26">
        <f t="shared" si="1"/>
        <v>91296.983200000002</v>
      </c>
      <c r="C22" s="26">
        <v>91839.252139999997</v>
      </c>
      <c r="D22" s="27">
        <f t="shared" si="0"/>
        <v>48804.204599999503</v>
      </c>
    </row>
    <row r="23" spans="1:4" x14ac:dyDescent="0.25">
      <c r="A23" s="41">
        <v>46159</v>
      </c>
      <c r="B23" s="26">
        <f t="shared" si="1"/>
        <v>91839.252139999997</v>
      </c>
      <c r="C23" s="26">
        <v>92356.027679999999</v>
      </c>
      <c r="D23" s="27">
        <f t="shared" si="0"/>
        <v>46509.798600000213</v>
      </c>
    </row>
    <row r="24" spans="1:4" x14ac:dyDescent="0.25">
      <c r="A24" s="41">
        <v>46160</v>
      </c>
      <c r="B24" s="26">
        <f t="shared" si="1"/>
        <v>92356.027679999999</v>
      </c>
      <c r="C24" s="26">
        <v>92908.300050000005</v>
      </c>
      <c r="D24" s="27">
        <f t="shared" si="0"/>
        <v>49704.513300000544</v>
      </c>
    </row>
    <row r="25" spans="1:4" x14ac:dyDescent="0.25">
      <c r="A25" s="41">
        <v>46161</v>
      </c>
      <c r="B25" s="26">
        <f t="shared" si="1"/>
        <v>92908.300050000005</v>
      </c>
      <c r="C25" s="26">
        <v>93383.887770000001</v>
      </c>
      <c r="D25" s="27">
        <f t="shared" si="0"/>
        <v>42802.894799999631</v>
      </c>
    </row>
    <row r="26" spans="1:4" x14ac:dyDescent="0.25">
      <c r="A26" s="41">
        <v>46162</v>
      </c>
      <c r="B26" s="26">
        <f t="shared" si="1"/>
        <v>93383.887770000001</v>
      </c>
      <c r="C26" s="26">
        <v>93914.933969999998</v>
      </c>
      <c r="D26" s="27">
        <f t="shared" si="0"/>
        <v>47794.157999999734</v>
      </c>
    </row>
    <row r="27" spans="1:4" x14ac:dyDescent="0.25">
      <c r="A27" s="41">
        <v>46163</v>
      </c>
      <c r="B27" s="26">
        <f t="shared" si="1"/>
        <v>93914.933969999998</v>
      </c>
      <c r="C27" s="26">
        <v>94453.437879999998</v>
      </c>
      <c r="D27" s="27">
        <f t="shared" si="0"/>
        <v>48465.351899999951</v>
      </c>
    </row>
    <row r="28" spans="1:4" x14ac:dyDescent="0.25">
      <c r="A28" s="41">
        <v>46164</v>
      </c>
      <c r="B28" s="26">
        <f t="shared" si="1"/>
        <v>94453.437879999998</v>
      </c>
      <c r="C28" s="26">
        <v>94948.129740000004</v>
      </c>
      <c r="D28" s="27">
        <f t="shared" si="0"/>
        <v>44522.267400000565</v>
      </c>
    </row>
    <row r="29" spans="1:4" x14ac:dyDescent="0.25">
      <c r="A29" s="41">
        <v>46165</v>
      </c>
      <c r="B29" s="26">
        <f t="shared" si="1"/>
        <v>94948.129740000004</v>
      </c>
      <c r="C29" s="26">
        <v>95474.478589999999</v>
      </c>
      <c r="D29" s="27">
        <f t="shared" si="0"/>
        <v>47371.396499999537</v>
      </c>
    </row>
    <row r="30" spans="1:4" x14ac:dyDescent="0.25">
      <c r="A30" s="41">
        <v>46166</v>
      </c>
      <c r="B30" s="26">
        <f t="shared" si="1"/>
        <v>95474.478589999999</v>
      </c>
      <c r="C30" s="26">
        <v>95973.443039999998</v>
      </c>
      <c r="D30" s="27">
        <f t="shared" si="0"/>
        <v>44906.800499999954</v>
      </c>
    </row>
    <row r="31" spans="1:4" x14ac:dyDescent="0.25">
      <c r="A31" s="41">
        <v>46167</v>
      </c>
      <c r="B31" s="26">
        <f t="shared" si="1"/>
        <v>95973.443039999998</v>
      </c>
      <c r="C31" s="26">
        <v>96403.870680000007</v>
      </c>
      <c r="D31" s="27">
        <f t="shared" si="0"/>
        <v>38738.487600000808</v>
      </c>
    </row>
    <row r="32" spans="1:4" x14ac:dyDescent="0.25">
      <c r="A32" s="41">
        <v>46168</v>
      </c>
      <c r="B32" s="26">
        <f t="shared" si="1"/>
        <v>96403.870680000007</v>
      </c>
      <c r="C32" s="26">
        <v>96894.091010000004</v>
      </c>
      <c r="D32" s="27">
        <f t="shared" si="0"/>
        <v>44119.829699999682</v>
      </c>
    </row>
    <row r="33" spans="1:4" x14ac:dyDescent="0.25">
      <c r="A33" s="41">
        <v>46169</v>
      </c>
      <c r="B33" s="26">
        <f t="shared" si="1"/>
        <v>96894.091010000004</v>
      </c>
      <c r="C33" s="26">
        <v>97426.090599999996</v>
      </c>
      <c r="D33" s="27">
        <f t="shared" si="0"/>
        <v>47879.963099999295</v>
      </c>
    </row>
    <row r="34" spans="1:4" x14ac:dyDescent="0.25">
      <c r="A34" s="41">
        <v>46170</v>
      </c>
      <c r="B34" s="26">
        <f t="shared" si="1"/>
        <v>97426.090599999996</v>
      </c>
      <c r="C34" s="26">
        <v>97923.750910000002</v>
      </c>
      <c r="D34" s="27">
        <f t="shared" si="0"/>
        <v>44789.427900000592</v>
      </c>
    </row>
    <row r="35" spans="1:4" x14ac:dyDescent="0.25">
      <c r="A35" s="41">
        <v>46171</v>
      </c>
      <c r="B35" s="26">
        <f t="shared" si="1"/>
        <v>97923.750910000002</v>
      </c>
      <c r="C35" s="26">
        <v>98482.037899999996</v>
      </c>
      <c r="D35" s="27">
        <f t="shared" si="0"/>
        <v>50245.829099999391</v>
      </c>
    </row>
    <row r="36" spans="1:4" x14ac:dyDescent="0.25">
      <c r="A36" s="41">
        <v>46172</v>
      </c>
      <c r="B36" s="26">
        <f t="shared" si="1"/>
        <v>98482.037899999996</v>
      </c>
      <c r="C36" s="26">
        <v>99027.993180000005</v>
      </c>
      <c r="D36" s="27">
        <f t="shared" si="0"/>
        <v>49135.97520000083</v>
      </c>
    </row>
    <row r="37" spans="1:4" x14ac:dyDescent="0.25">
      <c r="A37" s="41">
        <v>46173</v>
      </c>
      <c r="B37" s="6">
        <f t="shared" si="1"/>
        <v>99027.993180000005</v>
      </c>
      <c r="C37" s="6">
        <v>99522.570030000003</v>
      </c>
      <c r="D37" s="21">
        <f t="shared" si="0"/>
        <v>44511.916499999788</v>
      </c>
    </row>
    <row r="38" spans="1:4" ht="15.75" thickBot="1" x14ac:dyDescent="0.3">
      <c r="A38" s="74" t="s">
        <v>5</v>
      </c>
      <c r="B38" s="75"/>
      <c r="C38" s="76"/>
      <c r="D38" s="18">
        <f>SUM(D7:D37)</f>
        <v>1448219.1536999999</v>
      </c>
    </row>
  </sheetData>
  <mergeCells count="8">
    <mergeCell ref="A38:C38"/>
    <mergeCell ref="A1:D1"/>
    <mergeCell ref="A2:D2"/>
    <mergeCell ref="B3:D3"/>
    <mergeCell ref="A4:A6"/>
    <mergeCell ref="B4:B6"/>
    <mergeCell ref="C4:C6"/>
    <mergeCell ref="D4:D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FEEC5-0470-4F14-8677-8B64F401FD21}">
  <dimension ref="A1:D37"/>
  <sheetViews>
    <sheetView tabSelected="1" workbookViewId="0">
      <pane ySplit="6" topLeftCell="A23" activePane="bottomLeft" state="frozen"/>
      <selection pane="bottomLeft" activeCell="F29" sqref="F29"/>
    </sheetView>
  </sheetViews>
  <sheetFormatPr defaultRowHeight="15" x14ac:dyDescent="0.25"/>
  <cols>
    <col min="2" max="2" width="10.42578125" customWidth="1"/>
    <col min="3" max="3" width="9.7109375" customWidth="1"/>
    <col min="4" max="4" width="12.7109375" customWidth="1"/>
  </cols>
  <sheetData>
    <row r="1" spans="1:4" ht="16.5" thickBot="1" x14ac:dyDescent="0.3">
      <c r="A1" s="49" t="s">
        <v>7</v>
      </c>
      <c r="B1" s="50"/>
      <c r="C1" s="50"/>
      <c r="D1" s="51"/>
    </row>
    <row r="2" spans="1:4" ht="19.5" thickBot="1" x14ac:dyDescent="0.3">
      <c r="A2" s="44" t="s">
        <v>6</v>
      </c>
      <c r="B2" s="45"/>
      <c r="C2" s="45"/>
      <c r="D2" s="46"/>
    </row>
    <row r="3" spans="1:4" ht="15.75" thickBot="1" x14ac:dyDescent="0.3">
      <c r="A3" s="2"/>
      <c r="B3" s="58" t="s">
        <v>1</v>
      </c>
      <c r="C3" s="58"/>
      <c r="D3" s="58"/>
    </row>
    <row r="4" spans="1:4" x14ac:dyDescent="0.25">
      <c r="A4" s="59" t="s">
        <v>0</v>
      </c>
      <c r="B4" s="62" t="s">
        <v>2</v>
      </c>
      <c r="C4" s="62" t="s">
        <v>3</v>
      </c>
      <c r="D4" s="65" t="s">
        <v>4</v>
      </c>
    </row>
    <row r="5" spans="1:4" x14ac:dyDescent="0.25">
      <c r="A5" s="60"/>
      <c r="B5" s="63"/>
      <c r="C5" s="63"/>
      <c r="D5" s="66"/>
    </row>
    <row r="6" spans="1:4" ht="14.25" customHeight="1" x14ac:dyDescent="0.25">
      <c r="A6" s="73"/>
      <c r="B6" s="71"/>
      <c r="C6" s="71"/>
      <c r="D6" s="72"/>
    </row>
    <row r="7" spans="1:4" x14ac:dyDescent="0.25">
      <c r="A7" s="41">
        <v>46174</v>
      </c>
      <c r="B7" s="26">
        <v>99522.570030000003</v>
      </c>
      <c r="C7" s="26">
        <v>99906.913379999998</v>
      </c>
      <c r="D7" s="27">
        <f t="shared" ref="D7:D22" si="0">(C7-B7)*90</f>
        <v>34590.9014999996</v>
      </c>
    </row>
    <row r="8" spans="1:4" x14ac:dyDescent="0.25">
      <c r="A8" s="41">
        <v>46175</v>
      </c>
      <c r="B8" s="26">
        <f>C7</f>
        <v>99906.913379999998</v>
      </c>
      <c r="C8" s="26">
        <v>100472.96547</v>
      </c>
      <c r="D8" s="27">
        <f t="shared" si="0"/>
        <v>50944.688099999767</v>
      </c>
    </row>
    <row r="9" spans="1:4" x14ac:dyDescent="0.25">
      <c r="A9" s="41">
        <v>46176</v>
      </c>
      <c r="B9" s="26">
        <f>C8</f>
        <v>100472.96547</v>
      </c>
      <c r="C9" s="26">
        <v>101026.07441</v>
      </c>
      <c r="D9" s="27">
        <f t="shared" si="0"/>
        <v>49779.804600000498</v>
      </c>
    </row>
    <row r="10" spans="1:4" x14ac:dyDescent="0.25">
      <c r="A10" s="41">
        <v>46177</v>
      </c>
      <c r="B10" s="26">
        <f>C9</f>
        <v>101026.07441</v>
      </c>
      <c r="C10" s="26">
        <v>101596.57378999999</v>
      </c>
      <c r="D10" s="27">
        <f t="shared" si="0"/>
        <v>51344.944199999445</v>
      </c>
    </row>
    <row r="11" spans="1:4" x14ac:dyDescent="0.25">
      <c r="A11" s="41">
        <v>46178</v>
      </c>
      <c r="B11" s="26">
        <f>C10</f>
        <v>101596.57378999999</v>
      </c>
      <c r="C11" s="26">
        <v>102106.29721</v>
      </c>
      <c r="D11" s="27">
        <f t="shared" si="0"/>
        <v>45875.107800000842</v>
      </c>
    </row>
    <row r="12" spans="1:4" x14ac:dyDescent="0.25">
      <c r="A12" s="41">
        <v>46179</v>
      </c>
      <c r="B12" s="26">
        <f>C11</f>
        <v>102106.29721</v>
      </c>
      <c r="C12" s="26">
        <v>102596.31415999999</v>
      </c>
      <c r="D12" s="27">
        <f t="shared" si="0"/>
        <v>44101.525499999116</v>
      </c>
    </row>
    <row r="13" spans="1:4" x14ac:dyDescent="0.25">
      <c r="A13" s="41">
        <v>46180</v>
      </c>
      <c r="B13" s="26">
        <f t="shared" ref="B13:B22" si="1">C12</f>
        <v>102596.31415999999</v>
      </c>
      <c r="C13" s="26">
        <v>103036.81146</v>
      </c>
      <c r="D13" s="27">
        <f t="shared" si="0"/>
        <v>39644.757000000245</v>
      </c>
    </row>
    <row r="14" spans="1:4" x14ac:dyDescent="0.25">
      <c r="A14" s="41">
        <v>46181</v>
      </c>
      <c r="B14" s="26">
        <f t="shared" si="1"/>
        <v>103036.81146</v>
      </c>
      <c r="C14" s="26">
        <v>103524.76274999999</v>
      </c>
      <c r="D14" s="27">
        <f t="shared" si="0"/>
        <v>43915.616099999752</v>
      </c>
    </row>
    <row r="15" spans="1:4" x14ac:dyDescent="0.25">
      <c r="A15" s="41">
        <v>46182</v>
      </c>
      <c r="B15" s="26">
        <f t="shared" si="1"/>
        <v>103524.76274999999</v>
      </c>
      <c r="C15" s="26">
        <v>104042.17823</v>
      </c>
      <c r="D15" s="27">
        <f t="shared" si="0"/>
        <v>46567.393200000952</v>
      </c>
    </row>
    <row r="16" spans="1:4" x14ac:dyDescent="0.25">
      <c r="A16" s="41">
        <v>46183</v>
      </c>
      <c r="B16" s="26">
        <f t="shared" si="1"/>
        <v>104042.17823</v>
      </c>
      <c r="C16" s="26">
        <v>104561.20186</v>
      </c>
      <c r="D16" s="27">
        <f t="shared" si="0"/>
        <v>46712.126699999644</v>
      </c>
    </row>
    <row r="17" spans="1:4" x14ac:dyDescent="0.25">
      <c r="A17" s="41">
        <v>46184</v>
      </c>
      <c r="B17" s="26">
        <f t="shared" si="1"/>
        <v>104561.20186</v>
      </c>
      <c r="C17" s="26">
        <v>105121.92173</v>
      </c>
      <c r="D17" s="27">
        <f t="shared" si="0"/>
        <v>50464.788300000073</v>
      </c>
    </row>
    <row r="18" spans="1:4" x14ac:dyDescent="0.25">
      <c r="A18" s="41">
        <v>46185</v>
      </c>
      <c r="B18" s="26">
        <f t="shared" si="1"/>
        <v>105121.92173</v>
      </c>
      <c r="C18" s="26">
        <v>105621.16069999999</v>
      </c>
      <c r="D18" s="27">
        <f t="shared" si="0"/>
        <v>44931.507299999212</v>
      </c>
    </row>
    <row r="19" spans="1:4" x14ac:dyDescent="0.25">
      <c r="A19" s="41">
        <v>46186</v>
      </c>
      <c r="B19" s="26">
        <f t="shared" si="1"/>
        <v>105621.16069999999</v>
      </c>
      <c r="C19" s="26">
        <v>106109.35636999999</v>
      </c>
      <c r="D19" s="27">
        <f t="shared" si="0"/>
        <v>43937.610300000088</v>
      </c>
    </row>
    <row r="20" spans="1:4" x14ac:dyDescent="0.25">
      <c r="A20" s="41">
        <v>46187</v>
      </c>
      <c r="B20" s="26">
        <f t="shared" si="1"/>
        <v>106109.35636999999</v>
      </c>
      <c r="C20" s="26">
        <v>106579.42041000001</v>
      </c>
      <c r="D20" s="27">
        <f t="shared" si="0"/>
        <v>42305.763600001083</v>
      </c>
    </row>
    <row r="21" spans="1:4" x14ac:dyDescent="0.25">
      <c r="A21" s="41">
        <v>46188</v>
      </c>
      <c r="B21" s="26">
        <f t="shared" si="1"/>
        <v>106579.42041000001</v>
      </c>
      <c r="C21" s="26">
        <v>107063.31616</v>
      </c>
      <c r="D21" s="27">
        <f t="shared" si="0"/>
        <v>43550.617499999644</v>
      </c>
    </row>
    <row r="22" spans="1:4" x14ac:dyDescent="0.25">
      <c r="A22" s="43">
        <v>46189</v>
      </c>
      <c r="B22" s="6">
        <f t="shared" si="1"/>
        <v>107063.31616</v>
      </c>
      <c r="C22" s="6">
        <v>107621.50482</v>
      </c>
      <c r="D22" s="21">
        <f t="shared" si="0"/>
        <v>50236.979399999982</v>
      </c>
    </row>
    <row r="23" spans="1:4" x14ac:dyDescent="0.25">
      <c r="A23" s="41">
        <v>46190</v>
      </c>
      <c r="B23" s="6">
        <v>107621.5</v>
      </c>
      <c r="C23" s="6">
        <v>108123.36</v>
      </c>
      <c r="D23" s="21">
        <v>45167</v>
      </c>
    </row>
    <row r="24" spans="1:4" x14ac:dyDescent="0.25">
      <c r="A24" s="41">
        <v>46191</v>
      </c>
      <c r="B24" s="26">
        <v>108123.36</v>
      </c>
      <c r="C24" s="26">
        <v>108670.97</v>
      </c>
      <c r="D24" s="27">
        <v>49285</v>
      </c>
    </row>
    <row r="25" spans="1:4" x14ac:dyDescent="0.25">
      <c r="A25" s="41">
        <v>46192</v>
      </c>
      <c r="B25" s="6">
        <f t="shared" ref="B25" si="2">C24</f>
        <v>108670.97</v>
      </c>
      <c r="C25" s="6">
        <v>109201.48251</v>
      </c>
      <c r="D25" s="21">
        <f t="shared" ref="D25" si="3">(C25-B25)*90</f>
        <v>47746.125900000043</v>
      </c>
    </row>
    <row r="26" spans="1:4" x14ac:dyDescent="0.25">
      <c r="A26" s="41">
        <v>46193</v>
      </c>
      <c r="B26" s="26">
        <v>109201.48</v>
      </c>
      <c r="C26" s="26">
        <v>109767.29</v>
      </c>
      <c r="D26" s="27">
        <v>50922</v>
      </c>
    </row>
    <row r="27" spans="1:4" x14ac:dyDescent="0.25">
      <c r="A27" s="41">
        <v>46194</v>
      </c>
      <c r="B27" s="26">
        <f t="shared" ref="B27" si="4">C26</f>
        <v>109767.29</v>
      </c>
      <c r="C27" s="26">
        <v>110242.95235000001</v>
      </c>
      <c r="D27" s="27">
        <f t="shared" ref="D27:D28" si="5">(C27-B27)*90</f>
        <v>42809.611500001192</v>
      </c>
    </row>
    <row r="28" spans="1:4" x14ac:dyDescent="0.25">
      <c r="A28" s="41">
        <v>46195</v>
      </c>
      <c r="B28" s="6">
        <f>C27</f>
        <v>110242.95235000001</v>
      </c>
      <c r="C28" s="6">
        <v>110648.63335</v>
      </c>
      <c r="D28" s="21">
        <f t="shared" si="5"/>
        <v>36511.289999999717</v>
      </c>
    </row>
    <row r="29" spans="1:4" x14ac:dyDescent="0.25">
      <c r="A29" s="41">
        <v>46196</v>
      </c>
      <c r="B29" s="26">
        <v>110648.63</v>
      </c>
      <c r="C29" s="26">
        <v>111118.78</v>
      </c>
      <c r="D29" s="27">
        <v>42314</v>
      </c>
    </row>
    <row r="30" spans="1:4" x14ac:dyDescent="0.25">
      <c r="A30" s="41">
        <v>46197</v>
      </c>
      <c r="B30" s="26">
        <f t="shared" ref="B30:B36" si="6">C29</f>
        <v>111118.78</v>
      </c>
      <c r="C30" s="26">
        <v>111490.17006</v>
      </c>
      <c r="D30" s="27">
        <f t="shared" ref="D30:D36" si="7">(C30-B30)*90</f>
        <v>33425.105400000466</v>
      </c>
    </row>
    <row r="31" spans="1:4" x14ac:dyDescent="0.25">
      <c r="A31" s="41">
        <v>46198</v>
      </c>
      <c r="B31" s="26">
        <f t="shared" si="6"/>
        <v>111490.17006</v>
      </c>
      <c r="C31" s="26">
        <v>111965.20011999999</v>
      </c>
      <c r="D31" s="27">
        <f t="shared" si="7"/>
        <v>42752.705399999104</v>
      </c>
    </row>
    <row r="32" spans="1:4" x14ac:dyDescent="0.25">
      <c r="A32" s="41">
        <v>46199</v>
      </c>
      <c r="B32" s="26">
        <f t="shared" si="6"/>
        <v>111965.20011999999</v>
      </c>
      <c r="C32" s="26">
        <v>112414.47787</v>
      </c>
      <c r="D32" s="27">
        <f t="shared" si="7"/>
        <v>40434.997500000754</v>
      </c>
    </row>
    <row r="33" spans="1:4" x14ac:dyDescent="0.25">
      <c r="A33" s="41">
        <v>46200</v>
      </c>
      <c r="B33" s="26">
        <f t="shared" si="6"/>
        <v>112414.47787</v>
      </c>
      <c r="C33" s="26">
        <v>112813.2534</v>
      </c>
      <c r="D33" s="27">
        <f t="shared" si="7"/>
        <v>35889.797699999908</v>
      </c>
    </row>
    <row r="34" spans="1:4" x14ac:dyDescent="0.25">
      <c r="A34" s="41">
        <v>46201</v>
      </c>
      <c r="B34" s="26">
        <f t="shared" si="6"/>
        <v>112813.2534</v>
      </c>
      <c r="C34" s="26">
        <v>113128.49163</v>
      </c>
      <c r="D34" s="27">
        <f t="shared" si="7"/>
        <v>28371.440700000239</v>
      </c>
    </row>
    <row r="35" spans="1:4" x14ac:dyDescent="0.25">
      <c r="A35" s="41">
        <v>46202</v>
      </c>
      <c r="B35" s="26">
        <f t="shared" si="6"/>
        <v>113128.49163</v>
      </c>
      <c r="C35" s="26">
        <v>113550.02035000001</v>
      </c>
      <c r="D35" s="27">
        <f t="shared" si="7"/>
        <v>37937.584800000186</v>
      </c>
    </row>
    <row r="36" spans="1:4" ht="15.75" thickBot="1" x14ac:dyDescent="0.3">
      <c r="A36" s="42">
        <v>46203</v>
      </c>
      <c r="B36" s="6">
        <f t="shared" si="6"/>
        <v>113550.02035000001</v>
      </c>
      <c r="C36" s="6">
        <v>113821.10803</v>
      </c>
      <c r="D36" s="21">
        <f t="shared" si="7"/>
        <v>24397.891199999722</v>
      </c>
    </row>
    <row r="37" spans="1:4" ht="15.75" thickBot="1" x14ac:dyDescent="0.3">
      <c r="A37" s="77" t="s">
        <v>5</v>
      </c>
      <c r="B37" s="78"/>
      <c r="C37" s="79"/>
      <c r="D37" s="80">
        <f>SUM(D7:D36)</f>
        <v>1286868.6812000012</v>
      </c>
    </row>
  </sheetData>
  <mergeCells count="8">
    <mergeCell ref="A37:C37"/>
    <mergeCell ref="A1:D1"/>
    <mergeCell ref="A2:D2"/>
    <mergeCell ref="B3:D3"/>
    <mergeCell ref="A4:A6"/>
    <mergeCell ref="B4:B6"/>
    <mergeCell ref="C4:C6"/>
    <mergeCell ref="D4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Nov-25</vt:lpstr>
      <vt:lpstr>Dec-25</vt:lpstr>
      <vt:lpstr>Jan-26</vt:lpstr>
      <vt:lpstr>Feb-26</vt:lpstr>
      <vt:lpstr>March-26</vt:lpstr>
      <vt:lpstr>April-26</vt:lpstr>
      <vt:lpstr>May-26</vt:lpstr>
      <vt:lpstr>June-26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</dc:creator>
  <cp:lastModifiedBy>Sandeep</cp:lastModifiedBy>
  <dcterms:created xsi:type="dcterms:W3CDTF">2025-12-01T05:46:12Z</dcterms:created>
  <dcterms:modified xsi:type="dcterms:W3CDTF">2026-06-30T13:27:40Z</dcterms:modified>
</cp:coreProperties>
</file>